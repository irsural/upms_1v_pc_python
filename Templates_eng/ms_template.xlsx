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503\Desktop\upms_1v_pc\upms_1v_pc_python\Templates_eng\"/>
    </mc:Choice>
  </mc:AlternateContent>
  <bookViews>
    <workbookView xWindow="0" yWindow="0" windowWidth="16380" windowHeight="8190" tabRatio="500" activeTab="3"/>
  </bookViews>
  <sheets>
    <sheet name="GOST 8.423-81" sheetId="1" r:id="rId1"/>
    <sheet name="GOST 8.423-81 (2)" sheetId="2" r:id="rId2"/>
    <sheet name="Data" sheetId="3" r:id="rId3"/>
    <sheet name="Reference" sheetId="5" r:id="rId4"/>
  </sheets>
  <calcPr calcId="162913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39" i="2" l="1"/>
  <c r="D45" i="2"/>
  <c r="D43" i="2"/>
  <c r="A45" i="2"/>
  <c r="A43" i="2"/>
  <c r="D42" i="1" l="1"/>
  <c r="D40" i="1"/>
  <c r="A42" i="1"/>
  <c r="A40" i="1"/>
  <c r="H12" i="1" l="1"/>
  <c r="A1" i="1" l="1"/>
  <c r="A7" i="2"/>
  <c r="A15" i="2" l="1"/>
  <c r="A13" i="2"/>
  <c r="A11" i="2"/>
  <c r="A9" i="2"/>
  <c r="B37" i="2" l="1"/>
  <c r="E37" i="2" s="1"/>
  <c r="G35" i="2"/>
  <c r="J35" i="2" s="1"/>
  <c r="C35" i="2"/>
  <c r="B35" i="2"/>
  <c r="E35" i="2" s="1"/>
  <c r="B26" i="2"/>
  <c r="E26" i="2" s="1"/>
  <c r="I24" i="2"/>
  <c r="G24" i="2"/>
  <c r="J24" i="2" s="1"/>
  <c r="D24" i="2"/>
  <c r="B24" i="2"/>
  <c r="E24" i="2" s="1"/>
  <c r="B35" i="1"/>
  <c r="E35" i="1" s="1"/>
  <c r="G34" i="1"/>
  <c r="J34" i="1" s="1"/>
  <c r="B34" i="1"/>
  <c r="E34" i="1" s="1"/>
  <c r="B29" i="1"/>
  <c r="E29" i="1" s="1"/>
  <c r="G28" i="1"/>
  <c r="J28" i="1" s="1"/>
  <c r="B28" i="1"/>
  <c r="E28" i="1" s="1"/>
  <c r="H11" i="1"/>
  <c r="F7" i="1"/>
  <c r="F6" i="1"/>
  <c r="F5" i="1"/>
  <c r="F4" i="1"/>
  <c r="C26" i="2" l="1"/>
  <c r="D26" i="2"/>
  <c r="H24" i="2"/>
  <c r="D35" i="2"/>
  <c r="H35" i="2"/>
  <c r="I35" i="2"/>
  <c r="C37" i="2"/>
  <c r="C24" i="2"/>
  <c r="D37" i="2"/>
  <c r="C28" i="1"/>
  <c r="H28" i="1"/>
  <c r="C29" i="1"/>
  <c r="C34" i="1"/>
  <c r="F34" i="1" s="1"/>
  <c r="H34" i="1"/>
  <c r="C35" i="1"/>
  <c r="D28" i="1"/>
  <c r="I28" i="1"/>
  <c r="D29" i="1"/>
  <c r="D34" i="1"/>
  <c r="I34" i="1"/>
  <c r="D35" i="1"/>
  <c r="F37" i="2"/>
  <c r="F35" i="2"/>
  <c r="F26" i="2"/>
  <c r="F24" i="2"/>
  <c r="F28" i="1" l="1"/>
  <c r="F29" i="1"/>
  <c r="F35" i="1"/>
  <c r="K35" i="2"/>
  <c r="L35" i="2" s="1"/>
  <c r="K34" i="1"/>
  <c r="L34" i="1" s="1"/>
  <c r="K24" i="2"/>
  <c r="L24" i="2" s="1"/>
  <c r="K28" i="1" l="1"/>
  <c r="L28" i="1" s="1"/>
</calcChain>
</file>

<file path=xl/sharedStrings.xml><?xml version="1.0" encoding="utf-8"?>
<sst xmlns="http://schemas.openxmlformats.org/spreadsheetml/2006/main" count="73" uniqueCount="37">
  <si>
    <t>Designation, type:</t>
  </si>
  <si>
    <t>Accessory:</t>
  </si>
  <si>
    <t>Calibration conditions:</t>
  </si>
  <si>
    <t xml:space="preserve">temperature, °C </t>
  </si>
  <si>
    <t>humidity, %</t>
  </si>
  <si>
    <t>Calibration operations:</t>
  </si>
  <si>
    <t>1. External inspection:</t>
  </si>
  <si>
    <t>2. Testing</t>
  </si>
  <si>
    <t>3. Determination of metrological characteristics</t>
  </si>
  <si>
    <t>Calibration results</t>
  </si>
  <si>
    <t>Dial up</t>
  </si>
  <si>
    <t>Measurement error at time intervals of 3 min, 30 s or 60 s.</t>
  </si>
  <si>
    <r>
      <rPr>
        <sz val="11"/>
        <rFont val="Arial"/>
        <charset val="204"/>
      </rPr>
      <t>τ</t>
    </r>
    <r>
      <rPr>
        <vertAlign val="subscript"/>
        <sz val="11"/>
        <rFont val="Arial"/>
        <charset val="204"/>
      </rPr>
      <t>d</t>
    </r>
    <r>
      <rPr>
        <sz val="11"/>
        <rFont val="Arial"/>
        <charset val="204"/>
      </rPr>
      <t>, s</t>
    </r>
  </si>
  <si>
    <t>Control knob up</t>
  </si>
  <si>
    <r>
      <rPr>
        <sz val="11"/>
        <rFont val="Arial"/>
        <family val="2"/>
        <charset val="204"/>
      </rPr>
      <t>Δ</t>
    </r>
    <r>
      <rPr>
        <vertAlign val="subscript"/>
        <sz val="11"/>
        <rFont val="Arial"/>
        <family val="2"/>
        <charset val="204"/>
      </rPr>
      <t>t</t>
    </r>
    <r>
      <rPr>
        <sz val="11"/>
        <rFont val="Arial"/>
        <family val="2"/>
        <charset val="204"/>
      </rPr>
      <t>, s</t>
    </r>
  </si>
  <si>
    <t>Tolerance</t>
  </si>
  <si>
    <t>15...25</t>
  </si>
  <si>
    <t>50...80</t>
  </si>
  <si>
    <r>
      <rPr>
        <sz val="11"/>
        <rFont val="Arial"/>
        <family val="2"/>
        <charset val="204"/>
      </rPr>
      <t>Δ</t>
    </r>
    <r>
      <rPr>
        <vertAlign val="subscript"/>
        <sz val="11"/>
        <rFont val="Arial"/>
        <family val="2"/>
        <charset val="204"/>
      </rPr>
      <t>tmax</t>
    </r>
    <r>
      <rPr>
        <sz val="11"/>
        <rFont val="Arial"/>
        <family val="2"/>
        <charset val="204"/>
      </rPr>
      <t>, s</t>
    </r>
  </si>
  <si>
    <t>Measurement error at time intervals of 30 min or 60 min.</t>
  </si>
  <si>
    <r>
      <rPr>
        <sz val="11"/>
        <rFont val="Arial"/>
        <charset val="204"/>
      </rPr>
      <t>τ</t>
    </r>
    <r>
      <rPr>
        <vertAlign val="subscript"/>
        <sz val="11"/>
        <rFont val="Arial"/>
        <charset val="204"/>
      </rPr>
      <t>д</t>
    </r>
    <r>
      <rPr>
        <sz val="11"/>
        <rFont val="Arial"/>
        <charset val="204"/>
      </rPr>
      <t>,  min, s</t>
    </r>
  </si>
  <si>
    <t>Measured value</t>
  </si>
  <si>
    <r>
      <rPr>
        <sz val="11"/>
        <rFont val="Arial"/>
        <family val="2"/>
        <charset val="204"/>
      </rPr>
      <t>Δ</t>
    </r>
    <r>
      <rPr>
        <vertAlign val="subscript"/>
        <sz val="11"/>
        <rFont val="Arial"/>
        <charset val="204"/>
      </rPr>
      <t>av.</t>
    </r>
    <r>
      <rPr>
        <sz val="11"/>
        <rFont val="Arial"/>
        <charset val="204"/>
      </rPr>
      <t>, s</t>
    </r>
  </si>
  <si>
    <t>E, s</t>
  </si>
  <si>
    <t>Date</t>
  </si>
  <si>
    <t>Measurement interval</t>
  </si>
  <si>
    <t>Result</t>
  </si>
  <si>
    <t>Comment</t>
  </si>
  <si>
    <t>Stopwatch position</t>
  </si>
  <si>
    <t>0</t>
  </si>
  <si>
    <t>Measurement #</t>
  </si>
  <si>
    <t xml:space="preserve">For correct insertion of measurement results into the fields of the report, it is necessary to carry out measurements in the following order:
1. Short interval, measurement 1 (horizontally)
2. Long interval, measurement 1 (horizontally)
3. Short interval, measurement 1 (vertically)
4. Long interval, measurement 1 (vertically)
5. Short interval, measurement 2 (horizontally)
6. Long interval, measurement 2 (horizontally)
7. Short interval, measurement 2 (vertically)
8. Long interval, measurement 2 (vertically)
9. Short interval, measurement 3 (horizontally)
10. Long interval, measurement 3 (horizontally)
11. Short interval, measurement 3 (vertically)
12. Long interval, measurement 3 (vertically)
To automatically generate this sequence of measurements in the unit, set the following parameters:
Interval 1: short interval
Interval 2: long interval
Automatic mode: ON
Calibrate horizontally: ON
Calibrate vertically: ON
Number of repetitions in automatic mode: 3
</t>
  </si>
  <si>
    <t>Factory #:</t>
  </si>
  <si>
    <t>Standards used:
(measuring instruments)</t>
  </si>
  <si>
    <t xml:space="preserve">
Measurements #</t>
  </si>
  <si>
    <t>Fail/Pass</t>
  </si>
  <si>
    <t>STOPWATCH CALIBRATION 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</si>
</sst>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ИСТИНА&quot;;&quot;ИСТИНА&quot;;&quot;ЛОЖЬ&quot;"/>
    <numFmt numFmtId="165" formatCode="[$-F800]dddd\,\ mmmm\ dd\,\ yyyy"/>
  </numFmts>
  <fonts count="11">
    <font>
      <sz val="10"/>
      <name val="Arial"/>
      <family val="2"/>
      <charset val="204"/>
    </font>
    <font>
      <sz val="10"/>
      <color rgb="FF000000"/>
      <name val="Mangal"/>
      <family val="2"/>
      <charset val="204"/>
    </font>
    <font>
      <sz val="11"/>
      <name val="Arial"/>
      <family val="2"/>
      <charset val="204"/>
    </font>
    <font>
      <i/>
      <sz val="11"/>
      <name val="Arial"/>
      <family val="2"/>
      <charset val="204"/>
    </font>
    <font>
      <sz val="11"/>
      <name val="Arial"/>
      <charset val="204"/>
    </font>
    <font>
      <vertAlign val="subscript"/>
      <sz val="11"/>
      <name val="Arial"/>
      <charset val="204"/>
    </font>
    <font>
      <vertAlign val="subscript"/>
      <sz val="11"/>
      <name val="Arial"/>
      <family val="2"/>
      <charset val="204"/>
    </font>
    <font>
      <b/>
      <sz val="11"/>
      <name val="Arial"/>
      <family val="2"/>
      <charset val="204"/>
    </font>
    <font>
      <b/>
      <sz val="12"/>
      <name val="Arial"/>
      <family val="2"/>
      <charset val="204"/>
    </font>
    <font>
      <sz val="12"/>
      <name val="Arial"/>
      <family val="2"/>
      <charset val="204"/>
    </font>
    <font>
      <sz val="15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Border="0" applyAlignment="0" applyProtection="0"/>
  </cellStyleXfs>
  <cellXfs count="6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top" wrapText="1"/>
    </xf>
    <xf numFmtId="165" fontId="9" fillId="0" borderId="0" xfId="0" applyNumberFormat="1" applyFont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49" fontId="2" fillId="0" borderId="9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8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 vertical="center"/>
    </xf>
  </cellXfs>
  <cellStyles count="2">
    <cellStyle name="Заголовок" xfId="1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2"/>
  <sheetViews>
    <sheetView zoomScale="90" zoomScaleNormal="90" workbookViewId="0">
      <selection activeCell="H32" sqref="H32:J32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18" t="str">
        <f>"MECHANICAL STOPWATCH"  &amp; CHAR(10) &amp; " CALIBRATION RECORD" &amp; CHAR(10) &amp; " # " &amp; Data!B8</f>
        <v xml:space="preserve">MECHANICAL STOPWATCH
 CALIBRATION RECORD
 # 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3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1:13">
      <c r="A4" s="19" t="s">
        <v>0</v>
      </c>
      <c r="B4" s="19"/>
      <c r="C4" s="19"/>
      <c r="D4" s="19"/>
      <c r="E4" s="19"/>
      <c r="F4" s="19">
        <f>Data!B9</f>
        <v>0</v>
      </c>
      <c r="G4" s="19"/>
      <c r="H4" s="19"/>
      <c r="I4" s="19"/>
      <c r="J4" s="19"/>
      <c r="K4" s="19"/>
      <c r="L4" s="19"/>
    </row>
    <row r="5" spans="1:13">
      <c r="A5" s="20" t="s">
        <v>32</v>
      </c>
      <c r="B5" s="20"/>
      <c r="C5" s="20"/>
      <c r="D5" s="20"/>
      <c r="E5" s="20"/>
      <c r="F5" s="21">
        <f>Data!B10</f>
        <v>0</v>
      </c>
      <c r="G5" s="19"/>
      <c r="H5" s="19"/>
      <c r="I5" s="19"/>
      <c r="J5" s="19"/>
      <c r="K5" s="19"/>
      <c r="L5" s="19"/>
    </row>
    <row r="6" spans="1:13">
      <c r="A6" s="19" t="s">
        <v>1</v>
      </c>
      <c r="B6" s="19"/>
      <c r="C6" s="19"/>
      <c r="D6" s="19"/>
      <c r="E6" s="19"/>
      <c r="F6" s="19">
        <f>Data!B11</f>
        <v>0</v>
      </c>
      <c r="G6" s="19"/>
      <c r="H6" s="19"/>
      <c r="I6" s="19"/>
      <c r="J6" s="19"/>
      <c r="K6" s="19"/>
      <c r="L6" s="19"/>
    </row>
    <row r="7" spans="1:13" ht="13.9" customHeight="1">
      <c r="A7" s="22" t="s">
        <v>33</v>
      </c>
      <c r="B7" s="22"/>
      <c r="C7" s="22"/>
      <c r="D7" s="22"/>
      <c r="E7" s="22"/>
      <c r="F7" s="42">
        <f>Data!B12</f>
        <v>0</v>
      </c>
      <c r="G7" s="43"/>
      <c r="H7" s="43"/>
      <c r="I7" s="43"/>
      <c r="J7" s="43"/>
      <c r="K7" s="43"/>
      <c r="L7" s="44"/>
      <c r="M7" s="2"/>
    </row>
    <row r="8" spans="1:13">
      <c r="A8" s="22"/>
      <c r="B8" s="22"/>
      <c r="C8" s="22"/>
      <c r="D8" s="22"/>
      <c r="E8" s="22"/>
      <c r="F8" s="45"/>
      <c r="G8" s="46"/>
      <c r="H8" s="46"/>
      <c r="I8" s="46"/>
      <c r="J8" s="46"/>
      <c r="K8" s="46"/>
      <c r="L8" s="47"/>
      <c r="M8" s="2"/>
    </row>
    <row r="9" spans="1:13" ht="13.9" customHeight="1">
      <c r="A9" s="23" t="s">
        <v>2</v>
      </c>
      <c r="B9" s="23"/>
      <c r="C9" s="23"/>
      <c r="D9" s="23"/>
      <c r="E9" s="23"/>
      <c r="F9" s="24" t="s">
        <v>15</v>
      </c>
      <c r="G9" s="24"/>
      <c r="H9" s="48" t="s">
        <v>21</v>
      </c>
      <c r="I9" s="49"/>
      <c r="J9" s="49"/>
      <c r="K9" s="49"/>
      <c r="L9" s="51"/>
    </row>
    <row r="10" spans="1:13">
      <c r="A10" s="23"/>
      <c r="B10" s="23"/>
      <c r="C10" s="23"/>
      <c r="D10" s="23"/>
      <c r="E10" s="23"/>
      <c r="F10" s="24"/>
      <c r="G10" s="24"/>
      <c r="H10" s="52"/>
      <c r="I10" s="54"/>
      <c r="J10" s="54"/>
      <c r="K10" s="54"/>
      <c r="L10" s="53"/>
    </row>
    <row r="11" spans="1:13">
      <c r="A11" s="19" t="s">
        <v>3</v>
      </c>
      <c r="B11" s="19"/>
      <c r="C11" s="19"/>
      <c r="D11" s="19"/>
      <c r="E11" s="19"/>
      <c r="F11" s="24" t="s">
        <v>16</v>
      </c>
      <c r="G11" s="24"/>
      <c r="H11" s="55">
        <f>Data!B15</f>
        <v>0</v>
      </c>
      <c r="I11" s="56"/>
      <c r="J11" s="56"/>
      <c r="K11" s="56"/>
      <c r="L11" s="57"/>
    </row>
    <row r="12" spans="1:13">
      <c r="A12" s="19" t="s">
        <v>4</v>
      </c>
      <c r="B12" s="19"/>
      <c r="C12" s="19"/>
      <c r="D12" s="19"/>
      <c r="E12" s="19"/>
      <c r="F12" s="24" t="s">
        <v>17</v>
      </c>
      <c r="G12" s="24"/>
      <c r="H12" s="50">
        <f>Data!B16</f>
        <v>0</v>
      </c>
      <c r="I12" s="56"/>
      <c r="J12" s="56"/>
      <c r="K12" s="56"/>
      <c r="L12" s="57"/>
    </row>
    <row r="13" spans="1: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spans="1:13">
      <c r="A14" s="26" t="s">
        <v>5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</row>
    <row r="15" spans="1:13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3">
      <c r="A16" s="27" t="s">
        <v>6</v>
      </c>
      <c r="B16" s="27"/>
      <c r="C16" s="27"/>
      <c r="D16" s="28" t="s">
        <v>35</v>
      </c>
      <c r="E16" s="28"/>
      <c r="F16" s="28"/>
      <c r="G16" s="28"/>
      <c r="H16" s="28"/>
      <c r="I16" s="28"/>
      <c r="J16" s="28"/>
      <c r="K16" s="28"/>
      <c r="L16" s="28"/>
    </row>
    <row r="17" spans="1:19">
      <c r="A17" s="29"/>
      <c r="B17" s="29"/>
      <c r="C17" s="29"/>
      <c r="D17" s="27"/>
      <c r="E17" s="27"/>
      <c r="F17" s="27"/>
      <c r="G17" s="27"/>
      <c r="H17" s="27"/>
      <c r="I17" s="27"/>
      <c r="J17" s="27"/>
      <c r="K17" s="27"/>
      <c r="L17" s="27"/>
    </row>
    <row r="18" spans="1:19">
      <c r="A18" s="27" t="s">
        <v>7</v>
      </c>
      <c r="B18" s="27"/>
      <c r="C18" s="27"/>
      <c r="D18" s="28" t="s">
        <v>35</v>
      </c>
      <c r="E18" s="28"/>
      <c r="F18" s="28"/>
      <c r="G18" s="28"/>
      <c r="H18" s="28"/>
      <c r="I18" s="28"/>
      <c r="J18" s="28"/>
      <c r="K18" s="28"/>
      <c r="L18" s="28"/>
    </row>
    <row r="19" spans="1: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spans="1:19">
      <c r="A20" s="26" t="s">
        <v>8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</row>
    <row r="21" spans="1:19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9" ht="13.9" customHeight="1">
      <c r="A22" s="30" t="s">
        <v>34</v>
      </c>
      <c r="B22" s="24" t="s">
        <v>10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</row>
    <row r="23" spans="1:19" ht="13.9" customHeight="1">
      <c r="A23" s="30"/>
      <c r="B23" s="31" t="s">
        <v>11</v>
      </c>
      <c r="C23" s="31"/>
      <c r="D23" s="31"/>
      <c r="E23" s="31"/>
      <c r="F23" s="31"/>
      <c r="G23" s="31" t="s">
        <v>19</v>
      </c>
      <c r="H23" s="31"/>
      <c r="I23" s="31"/>
      <c r="J23" s="31"/>
      <c r="K23" s="31"/>
      <c r="L23" s="31"/>
      <c r="P23" s="6"/>
    </row>
    <row r="24" spans="1:19">
      <c r="A24" s="30"/>
      <c r="B24" s="30"/>
      <c r="C24" s="31"/>
      <c r="D24" s="31"/>
      <c r="E24" s="31"/>
      <c r="F24" s="31"/>
      <c r="G24" s="31"/>
      <c r="H24" s="31"/>
      <c r="I24" s="31"/>
      <c r="J24" s="31"/>
      <c r="K24" s="31"/>
      <c r="L24" s="31"/>
    </row>
    <row r="25" spans="1:19">
      <c r="A25" s="30"/>
      <c r="B25" s="30"/>
      <c r="C25" s="31"/>
      <c r="D25" s="31"/>
      <c r="E25" s="31"/>
      <c r="F25" s="31"/>
      <c r="G25" s="31"/>
      <c r="H25" s="31"/>
      <c r="I25" s="31"/>
      <c r="J25" s="31"/>
      <c r="K25" s="31"/>
      <c r="L25" s="31"/>
      <c r="P25" s="6"/>
      <c r="Q25" s="6"/>
      <c r="R25" s="6"/>
    </row>
    <row r="26" spans="1:19" ht="17.100000000000001" customHeight="1">
      <c r="A26" s="30"/>
      <c r="B26" s="32" t="s">
        <v>12</v>
      </c>
      <c r="C26" s="24" t="s">
        <v>14</v>
      </c>
      <c r="D26" s="24"/>
      <c r="E26" s="24"/>
      <c r="F26" s="24" t="s">
        <v>18</v>
      </c>
      <c r="G26" s="33" t="s">
        <v>20</v>
      </c>
      <c r="H26" s="24" t="s">
        <v>14</v>
      </c>
      <c r="I26" s="24"/>
      <c r="J26" s="24"/>
      <c r="K26" s="34" t="s">
        <v>22</v>
      </c>
      <c r="L26" s="24" t="s">
        <v>23</v>
      </c>
      <c r="N26" s="2"/>
    </row>
    <row r="27" spans="1:19" ht="17.100000000000001" customHeight="1">
      <c r="A27" s="30"/>
      <c r="B27" s="30"/>
      <c r="C27" s="3">
        <v>1</v>
      </c>
      <c r="D27" s="3">
        <v>2</v>
      </c>
      <c r="E27" s="3">
        <v>3</v>
      </c>
      <c r="F27" s="24"/>
      <c r="G27" s="24"/>
      <c r="H27" s="3">
        <v>1</v>
      </c>
      <c r="I27" s="3">
        <v>2</v>
      </c>
      <c r="J27" s="3">
        <v>3</v>
      </c>
      <c r="K27" s="34"/>
      <c r="L27" s="34"/>
      <c r="S27" s="6"/>
    </row>
    <row r="28" spans="1:19" ht="17.100000000000001" customHeight="1">
      <c r="A28" s="30"/>
      <c r="B28" s="17" t="str">
        <f>Data!B3</f>
        <v>0</v>
      </c>
      <c r="C28" s="17">
        <f>Data!B4-B28</f>
        <v>0</v>
      </c>
      <c r="D28" s="17">
        <f>Data!F4-B28</f>
        <v>0</v>
      </c>
      <c r="E28" s="17">
        <f>Data!J4-B28</f>
        <v>0</v>
      </c>
      <c r="F28" s="3">
        <f>MAX(C28:E28)</f>
        <v>0</v>
      </c>
      <c r="G28" s="7">
        <f>IF(VALUE(Data!C3)&lt;&gt;180, VALUE(Data!C3), "")</f>
        <v>0</v>
      </c>
      <c r="H28" s="7">
        <f>IF(ISNUMBER(G28), Data!C4 - G28, "")</f>
        <v>0</v>
      </c>
      <c r="I28" s="7">
        <f>IF(ISNUMBER(G28), Data!G4 - G28, "")</f>
        <v>0</v>
      </c>
      <c r="J28" s="7">
        <f>IF(ISNUMBER(G28), Data!K4 - G28, "")</f>
        <v>0</v>
      </c>
      <c r="K28" s="7">
        <f>IF(ISNUMBER(G28), SUM(H28:J28)/3, "")</f>
        <v>0</v>
      </c>
      <c r="L28" s="8" t="str">
        <f>IF(ISNUMBER(G28), TEXT(ABS(H28-K28), "0,0000") &amp; ", " &amp; TEXT(ABS(I28-K28), "0,0000") &amp; ", " &amp; TEXT(ABS(J28-K28), "0,0000"), "")</f>
        <v>0,0000, 0,0000, 0,0000</v>
      </c>
    </row>
    <row r="29" spans="1:19" ht="17.100000000000001" customHeight="1">
      <c r="A29" s="30"/>
      <c r="B29" s="7" t="str">
        <f>IF(VALUE(Data!C3)=180, VALUE(Data!C3), "")</f>
        <v/>
      </c>
      <c r="C29" s="3" t="str">
        <f>IF(ISNUMBER(B29), Data!C4 - B29, "")</f>
        <v/>
      </c>
      <c r="D29" s="7" t="str">
        <f>IF(ISNUMBER(B29), Data!G4 - B29, "")</f>
        <v/>
      </c>
      <c r="E29" s="7" t="str">
        <f>IF(ISNUMBER(B29), Data!K4 - B29, "")</f>
        <v/>
      </c>
      <c r="F29" s="7" t="str">
        <f>IF(ISNUMBER(B29), MAX(C29:E29), "")</f>
        <v/>
      </c>
      <c r="G29" s="3"/>
      <c r="H29" s="3"/>
      <c r="I29" s="3"/>
      <c r="J29" s="3"/>
      <c r="K29" s="3"/>
      <c r="L29" s="3"/>
    </row>
    <row r="30" spans="1:19" ht="13.9" customHeight="1">
      <c r="A30" s="30" t="s">
        <v>34</v>
      </c>
      <c r="B30" s="24" t="s">
        <v>13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</row>
    <row r="31" spans="1:19" ht="14.1" customHeight="1">
      <c r="A31" s="30"/>
      <c r="B31" s="9"/>
      <c r="C31" s="9"/>
      <c r="D31" s="9"/>
      <c r="E31" s="9"/>
      <c r="F31" s="9"/>
      <c r="G31" s="10"/>
      <c r="H31" s="10"/>
      <c r="I31" s="10"/>
      <c r="J31" s="10"/>
      <c r="K31" s="10"/>
      <c r="L31" s="10"/>
    </row>
    <row r="32" spans="1:19" ht="17.100000000000001" customHeight="1">
      <c r="A32" s="30"/>
      <c r="B32" s="32" t="s">
        <v>12</v>
      </c>
      <c r="C32" s="24" t="s">
        <v>14</v>
      </c>
      <c r="D32" s="24"/>
      <c r="E32" s="24"/>
      <c r="F32" s="24" t="s">
        <v>18</v>
      </c>
      <c r="G32" s="33" t="s">
        <v>20</v>
      </c>
      <c r="H32" s="24" t="s">
        <v>14</v>
      </c>
      <c r="I32" s="24"/>
      <c r="J32" s="24"/>
      <c r="K32" s="34" t="s">
        <v>22</v>
      </c>
      <c r="L32" s="24" t="s">
        <v>23</v>
      </c>
    </row>
    <row r="33" spans="1:12" ht="17.100000000000001" customHeight="1">
      <c r="A33" s="30"/>
      <c r="B33" s="30"/>
      <c r="C33" s="3">
        <v>1</v>
      </c>
      <c r="D33" s="3">
        <v>2</v>
      </c>
      <c r="E33" s="3">
        <v>3</v>
      </c>
      <c r="F33" s="24"/>
      <c r="G33" s="24"/>
      <c r="H33" s="3">
        <v>1</v>
      </c>
      <c r="I33" s="3">
        <v>2</v>
      </c>
      <c r="J33" s="3">
        <v>3</v>
      </c>
      <c r="K33" s="34"/>
      <c r="L33" s="34"/>
    </row>
    <row r="34" spans="1:12" ht="17.100000000000001" customHeight="1">
      <c r="A34" s="30"/>
      <c r="B34" s="17">
        <f>Data!D3</f>
        <v>0</v>
      </c>
      <c r="C34" s="17">
        <f>Data!D4-B34</f>
        <v>0</v>
      </c>
      <c r="D34" s="17">
        <f>Data!H4-B34</f>
        <v>0</v>
      </c>
      <c r="E34" s="17">
        <f>Data!L4-B34</f>
        <v>0</v>
      </c>
      <c r="F34" s="3">
        <f>MAX(C34:E34)</f>
        <v>0</v>
      </c>
      <c r="G34" s="3">
        <f>IF(VALUE(Data!E3)&lt;&gt;180, VALUE(Data!E3), "")</f>
        <v>0</v>
      </c>
      <c r="H34" s="3">
        <f>IF(ISNUMBER(G34), Data!E4 - G34, "")</f>
        <v>0</v>
      </c>
      <c r="I34" s="3">
        <f>IF(ISNUMBER(G34), Data!I4 - G34, "")</f>
        <v>0</v>
      </c>
      <c r="J34" s="3">
        <f>IF(ISNUMBER(G34), Data!M4 - G34, "")</f>
        <v>0</v>
      </c>
      <c r="K34" s="3">
        <f>IF(ISNUMBER(G34), SUM(H34:J34)/3, "")</f>
        <v>0</v>
      </c>
      <c r="L34" s="11" t="str">
        <f>IF(ISNUMBER(G34), TEXT(ABS(H34-K34), "0,0000") &amp; ", " &amp; TEXT(ABS(I34-K34), "0,0000") &amp; ", " &amp; TEXT(ABS(J34-K34), "0,0000"), "")</f>
        <v>0,0000, 0,0000, 0,0000</v>
      </c>
    </row>
    <row r="35" spans="1:12" ht="17.100000000000001" customHeight="1">
      <c r="A35" s="30"/>
      <c r="B35" s="7" t="str">
        <f>IF(VALUE(Data!E3)=180, VALUE(Data!E3), "")</f>
        <v/>
      </c>
      <c r="C35" s="7" t="str">
        <f>IF(ISNUMBER(B35), Data!E4 - B35, "")</f>
        <v/>
      </c>
      <c r="D35" s="7" t="str">
        <f>IF(ISNUMBER(B35), Data!I4 - B35, "")</f>
        <v/>
      </c>
      <c r="E35" s="7" t="str">
        <f>IF(ISNUMBER(B35), Data!M4 - B35, "")</f>
        <v/>
      </c>
      <c r="F35" s="7" t="str">
        <f>IF(ISNUMBER(B35), MAX(C35:E35), "")</f>
        <v/>
      </c>
      <c r="G35" s="3"/>
      <c r="H35" s="3"/>
      <c r="I35" s="3"/>
      <c r="J35" s="3"/>
      <c r="K35" s="3"/>
      <c r="L35" s="3"/>
    </row>
    <row r="36" spans="1:12">
      <c r="A36"/>
      <c r="B36"/>
      <c r="C36"/>
      <c r="D36"/>
      <c r="E36"/>
      <c r="F36"/>
      <c r="G36"/>
      <c r="H36"/>
      <c r="I36"/>
      <c r="J36"/>
      <c r="K36"/>
      <c r="L36"/>
    </row>
    <row r="37" spans="1:12">
      <c r="A37"/>
      <c r="B37"/>
      <c r="C37"/>
      <c r="D37"/>
      <c r="E37"/>
      <c r="F37"/>
      <c r="G37"/>
      <c r="H37"/>
      <c r="I37"/>
      <c r="J37"/>
      <c r="K37"/>
      <c r="L37"/>
    </row>
    <row r="38" spans="1:12">
      <c r="A38" s="27" t="s">
        <v>9</v>
      </c>
      <c r="B38" s="27"/>
      <c r="C38" s="27"/>
      <c r="D38" s="28" t="s">
        <v>35</v>
      </c>
      <c r="E38" s="28"/>
      <c r="F38" s="28"/>
      <c r="G38" s="28"/>
      <c r="H38" s="28"/>
      <c r="I38" s="28"/>
      <c r="J38" s="28"/>
      <c r="K38" s="28"/>
      <c r="L38" s="28"/>
    </row>
    <row r="39" spans="1:12">
      <c r="A39"/>
      <c r="B39"/>
      <c r="C39"/>
      <c r="D39"/>
      <c r="E39"/>
      <c r="F39"/>
      <c r="G39"/>
      <c r="H39"/>
      <c r="I39"/>
      <c r="J39"/>
      <c r="K39"/>
      <c r="L39"/>
    </row>
    <row r="40" spans="1:12">
      <c r="A40" s="26" t="str">
        <f>"Calibration officer: "</f>
        <v xml:space="preserve">Calibration officer: </v>
      </c>
      <c r="B40" s="26"/>
      <c r="C40" s="26"/>
      <c r="D40" s="58">
        <f>Data!B14</f>
        <v>0</v>
      </c>
      <c r="E40" s="58"/>
      <c r="F40" s="58"/>
      <c r="G40" s="58"/>
      <c r="H40" s="58"/>
      <c r="I40" s="58"/>
      <c r="J40" s="58"/>
      <c r="K40" s="58"/>
      <c r="L40" s="58"/>
    </row>
    <row r="42" spans="1:12">
      <c r="A42" s="26" t="str">
        <f>"Calibration date: "</f>
        <v xml:space="preserve">Calibration date: </v>
      </c>
      <c r="B42" s="26"/>
      <c r="C42" s="26"/>
      <c r="D42" s="59">
        <f>Data!B2</f>
        <v>0</v>
      </c>
      <c r="E42" s="59"/>
      <c r="F42" s="59"/>
      <c r="G42" s="59"/>
      <c r="H42" s="59"/>
      <c r="I42" s="59"/>
      <c r="J42" s="59"/>
      <c r="K42" s="59"/>
      <c r="L42" s="59"/>
    </row>
  </sheetData>
  <mergeCells count="52">
    <mergeCell ref="H12:L12"/>
    <mergeCell ref="A40:C40"/>
    <mergeCell ref="D40:L40"/>
    <mergeCell ref="A38:C38"/>
    <mergeCell ref="D38:L38"/>
    <mergeCell ref="A30:A35"/>
    <mergeCell ref="B30:L30"/>
    <mergeCell ref="B32:B33"/>
    <mergeCell ref="C32:E32"/>
    <mergeCell ref="F32:F33"/>
    <mergeCell ref="G32:G33"/>
    <mergeCell ref="H32:J32"/>
    <mergeCell ref="K32:K33"/>
    <mergeCell ref="L32:L33"/>
    <mergeCell ref="A42:C42"/>
    <mergeCell ref="D42:L42"/>
    <mergeCell ref="A18:C18"/>
    <mergeCell ref="D18:L18"/>
    <mergeCell ref="A20:L20"/>
    <mergeCell ref="A22:A29"/>
    <mergeCell ref="B22:L22"/>
    <mergeCell ref="B23:F25"/>
    <mergeCell ref="G23:L25"/>
    <mergeCell ref="B26:B27"/>
    <mergeCell ref="C26:E26"/>
    <mergeCell ref="F26:F27"/>
    <mergeCell ref="G26:G27"/>
    <mergeCell ref="H26:J26"/>
    <mergeCell ref="K26:K27"/>
    <mergeCell ref="L26:L27"/>
    <mergeCell ref="A14:L14"/>
    <mergeCell ref="A16:C16"/>
    <mergeCell ref="D16:L16"/>
    <mergeCell ref="A17:C17"/>
    <mergeCell ref="D17:L17"/>
    <mergeCell ref="A12:E12"/>
    <mergeCell ref="F12:G12"/>
    <mergeCell ref="A9:E10"/>
    <mergeCell ref="F9:G10"/>
    <mergeCell ref="A11:E11"/>
    <mergeCell ref="F11:G11"/>
    <mergeCell ref="H9:L10"/>
    <mergeCell ref="H11:L11"/>
    <mergeCell ref="A6:E6"/>
    <mergeCell ref="F6:L6"/>
    <mergeCell ref="A7:E8"/>
    <mergeCell ref="F7:L8"/>
    <mergeCell ref="A1:L3"/>
    <mergeCell ref="A4:E4"/>
    <mergeCell ref="F4:L4"/>
    <mergeCell ref="A5:E5"/>
    <mergeCell ref="F5:L5"/>
  </mergeCells>
  <pageMargins left="0.78749999999999998" right="0.78749999999999998" top="0.88611111111111096" bottom="0.88611111111111096" header="0.78749999999999998" footer="0.78749999999999998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9"/>
  <sheetViews>
    <sheetView zoomScale="90" zoomScaleNormal="90" workbookViewId="0">
      <selection activeCell="D45" sqref="D45:L45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/>
      <c r="B1"/>
      <c r="C1"/>
      <c r="D1"/>
      <c r="E1"/>
      <c r="F1"/>
      <c r="G1"/>
      <c r="H1"/>
      <c r="I1"/>
      <c r="J1"/>
      <c r="K1"/>
      <c r="L1"/>
    </row>
    <row r="2" spans="1:13">
      <c r="A2"/>
      <c r="B2"/>
      <c r="C2"/>
      <c r="D2"/>
      <c r="E2"/>
      <c r="F2"/>
      <c r="G2"/>
      <c r="H2"/>
      <c r="I2"/>
      <c r="J2"/>
      <c r="K2"/>
      <c r="L2"/>
    </row>
    <row r="3" spans="1:13">
      <c r="A3"/>
      <c r="B3"/>
      <c r="C3"/>
      <c r="D3"/>
      <c r="E3"/>
      <c r="F3"/>
      <c r="G3"/>
      <c r="H3"/>
      <c r="I3"/>
      <c r="J3"/>
      <c r="K3"/>
      <c r="L3"/>
    </row>
    <row r="4" spans="1:13">
      <c r="A4" s="35" t="s">
        <v>36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13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13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</row>
    <row r="7" spans="1:13">
      <c r="A7" s="26" t="str">
        <f>"CALIBRATION RECORD # " &amp; Data!B8</f>
        <v xml:space="preserve">CALIBRATION RECORD # 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</row>
    <row r="8" spans="1:13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</row>
    <row r="9" spans="1:13">
      <c r="A9" s="26" t="str">
        <f>"Stopwatch type " &amp; Data!B9</f>
        <v xml:space="preserve">Stopwatch type </v>
      </c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</row>
    <row r="10" spans="1:13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</row>
    <row r="11" spans="1:13">
      <c r="A11" s="36" t="str">
        <f>"Factory # " &amp; Data!B10</f>
        <v xml:space="preserve">Factory # 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2"/>
    </row>
    <row r="12" spans="1:13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</row>
    <row r="13" spans="1:13">
      <c r="A13" s="26" t="str">
        <f>"Originating from " &amp;  Data!B11</f>
        <v xml:space="preserve">Originating from 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</row>
    <row r="14" spans="1:13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</row>
    <row r="15" spans="1:13">
      <c r="A15" s="26" t="str">
        <f>"Calibration instruments " &amp;  Data!B12</f>
        <v xml:space="preserve">Calibration instruments 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</row>
    <row r="16" spans="1:13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</row>
    <row r="17" spans="1:19" ht="13.9" customHeight="1">
      <c r="A17" s="30" t="s">
        <v>34</v>
      </c>
      <c r="B17" s="24" t="s">
        <v>10</v>
      </c>
      <c r="C17" s="24"/>
      <c r="D17" s="24"/>
      <c r="E17" s="24"/>
      <c r="F17" s="24"/>
      <c r="G17" s="24"/>
      <c r="H17" s="24"/>
      <c r="I17" s="24"/>
      <c r="J17" s="24"/>
      <c r="K17" s="24"/>
      <c r="L17" s="24"/>
    </row>
    <row r="18" spans="1:19" ht="13.9" customHeight="1">
      <c r="A18" s="30"/>
      <c r="B18" s="31" t="s">
        <v>11</v>
      </c>
      <c r="C18" s="31"/>
      <c r="D18" s="31"/>
      <c r="E18" s="31"/>
      <c r="F18" s="31"/>
      <c r="G18" s="31" t="s">
        <v>19</v>
      </c>
      <c r="H18" s="31"/>
      <c r="I18" s="31"/>
      <c r="J18" s="31"/>
      <c r="K18" s="31"/>
      <c r="L18" s="31"/>
      <c r="P18" s="6"/>
    </row>
    <row r="19" spans="1:19">
      <c r="A19" s="30"/>
      <c r="B19" s="30"/>
      <c r="C19" s="31"/>
      <c r="D19" s="31"/>
      <c r="E19" s="31"/>
      <c r="F19" s="31"/>
      <c r="G19" s="31"/>
      <c r="H19" s="31"/>
      <c r="I19" s="31"/>
      <c r="J19" s="31"/>
      <c r="K19" s="31"/>
      <c r="L19" s="31"/>
    </row>
    <row r="20" spans="1:19">
      <c r="A20" s="30"/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1"/>
      <c r="P20" s="6"/>
      <c r="Q20" s="6"/>
      <c r="R20" s="6"/>
    </row>
    <row r="21" spans="1:19" ht="17.100000000000001" customHeight="1">
      <c r="A21" s="30"/>
      <c r="B21" s="32" t="s">
        <v>12</v>
      </c>
      <c r="C21" s="24" t="s">
        <v>14</v>
      </c>
      <c r="D21" s="24"/>
      <c r="E21" s="24"/>
      <c r="F21" s="24" t="s">
        <v>18</v>
      </c>
      <c r="G21" s="33" t="s">
        <v>20</v>
      </c>
      <c r="H21" s="24" t="s">
        <v>14</v>
      </c>
      <c r="I21" s="24"/>
      <c r="J21" s="24"/>
      <c r="K21" s="34" t="s">
        <v>22</v>
      </c>
      <c r="L21" s="24" t="s">
        <v>23</v>
      </c>
      <c r="N21" s="2"/>
    </row>
    <row r="22" spans="1:19">
      <c r="A22" s="30"/>
      <c r="B22" s="30"/>
      <c r="C22" s="24">
        <v>1</v>
      </c>
      <c r="D22" s="24">
        <v>2</v>
      </c>
      <c r="E22" s="24">
        <v>3</v>
      </c>
      <c r="F22" s="24"/>
      <c r="G22" s="24"/>
      <c r="H22" s="24">
        <v>1</v>
      </c>
      <c r="I22" s="24">
        <v>2</v>
      </c>
      <c r="J22" s="24">
        <v>3</v>
      </c>
      <c r="K22" s="34"/>
      <c r="L22" s="34"/>
      <c r="S22" s="6"/>
    </row>
    <row r="23" spans="1:19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</row>
    <row r="24" spans="1:19" ht="28.35" customHeight="1">
      <c r="A24" s="24">
        <v>1</v>
      </c>
      <c r="B24" s="25" t="str">
        <f>Data!B3</f>
        <v>0</v>
      </c>
      <c r="C24" s="25">
        <f>Data!B4-B24</f>
        <v>0</v>
      </c>
      <c r="D24" s="25">
        <f>Data!F4-B24</f>
        <v>0</v>
      </c>
      <c r="E24" s="25">
        <f>Data!J4-B24</f>
        <v>0</v>
      </c>
      <c r="F24" s="24">
        <f>MAX(C24:E24)</f>
        <v>0</v>
      </c>
      <c r="G24" s="24">
        <f>IF(VALUE(Data!C3)&lt;&gt;180, VALUE(Data!C3), "")</f>
        <v>0</v>
      </c>
      <c r="H24" s="24">
        <f>IF(ISNUMBER(G24), Data!C4 - G24, "")</f>
        <v>0</v>
      </c>
      <c r="I24" s="24">
        <f>IF(ISNUMBER(G24), Data!G4 - G24, "")</f>
        <v>0</v>
      </c>
      <c r="J24" s="24">
        <f>IF(ISNUMBER(G24), Data!K4 - G24, "")</f>
        <v>0</v>
      </c>
      <c r="K24" s="24">
        <f>IF(ISNUMBER(G24), SUM(H24:J24)/3, "")</f>
        <v>0</v>
      </c>
      <c r="L24" s="34" t="str">
        <f>IF(ISNUMBER(G24), TEXT(ABS(H24-K24), "0,0000") &amp; ", " &amp; TEXT(ABS(I24-K24), "0,0000") &amp; ", " &amp; TEXT(ABS(J24-K24), "0,0000"), "")</f>
        <v>0,0000, 0,0000, 0,0000</v>
      </c>
    </row>
    <row r="25" spans="1:19" ht="14.1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</row>
    <row r="26" spans="1:19" ht="28.35" customHeight="1">
      <c r="A26" s="24">
        <v>2</v>
      </c>
      <c r="B26" s="24" t="str">
        <f>IF(VALUE(Data!C3)=180, VALUE(Data!C3), "")</f>
        <v/>
      </c>
      <c r="C26" s="24" t="str">
        <f>IF(ISNUMBER(B26), Data!C4 - B26, "")</f>
        <v/>
      </c>
      <c r="D26" s="24" t="str">
        <f>IF(ISNUMBER(B26), Data!G4 - B26, "")</f>
        <v/>
      </c>
      <c r="E26" s="24" t="str">
        <f>IF(ISNUMBER(B26), Data!K4 - B26, "")</f>
        <v/>
      </c>
      <c r="F26" s="24" t="str">
        <f>IF(ISNUMBER(B26), MAX(C26:E26), "")</f>
        <v/>
      </c>
      <c r="G26" s="24"/>
      <c r="H26" s="24"/>
      <c r="I26" s="24"/>
      <c r="J26" s="24"/>
      <c r="K26" s="24"/>
      <c r="L26" s="24"/>
    </row>
    <row r="27" spans="1:19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</row>
    <row r="28" spans="1:19" ht="13.9" customHeight="1">
      <c r="A28" s="30" t="s">
        <v>34</v>
      </c>
      <c r="B28" s="24" t="s">
        <v>13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</row>
    <row r="29" spans="1:19" ht="13.9" customHeight="1">
      <c r="A29" s="30"/>
      <c r="B29" s="31" t="s">
        <v>11</v>
      </c>
      <c r="C29" s="31"/>
      <c r="D29" s="31"/>
      <c r="E29" s="31"/>
      <c r="F29" s="31"/>
      <c r="G29" s="31" t="s">
        <v>19</v>
      </c>
      <c r="H29" s="31"/>
      <c r="I29" s="31"/>
      <c r="J29" s="31"/>
      <c r="K29" s="31"/>
      <c r="L29" s="31"/>
    </row>
    <row r="30" spans="1:19">
      <c r="A30" s="30"/>
      <c r="B30" s="30"/>
      <c r="C30" s="31"/>
      <c r="D30" s="31"/>
      <c r="E30" s="31"/>
      <c r="F30" s="31"/>
      <c r="G30" s="31"/>
      <c r="H30" s="31"/>
      <c r="I30" s="31"/>
      <c r="J30" s="31"/>
      <c r="K30" s="31"/>
      <c r="L30" s="31"/>
    </row>
    <row r="31" spans="1:19">
      <c r="A31" s="30"/>
      <c r="B31" s="30"/>
      <c r="C31" s="31"/>
      <c r="D31" s="31"/>
      <c r="E31" s="31"/>
      <c r="F31" s="31"/>
      <c r="G31" s="31"/>
      <c r="H31" s="31"/>
      <c r="I31" s="31"/>
      <c r="J31" s="31"/>
      <c r="K31" s="31"/>
      <c r="L31" s="31"/>
    </row>
    <row r="32" spans="1:19" ht="17.100000000000001" customHeight="1">
      <c r="A32" s="30"/>
      <c r="B32" s="32" t="s">
        <v>12</v>
      </c>
      <c r="C32" s="24" t="s">
        <v>14</v>
      </c>
      <c r="D32" s="24"/>
      <c r="E32" s="24"/>
      <c r="F32" s="24" t="s">
        <v>18</v>
      </c>
      <c r="G32" s="33" t="s">
        <v>20</v>
      </c>
      <c r="H32" s="24" t="s">
        <v>14</v>
      </c>
      <c r="I32" s="24"/>
      <c r="J32" s="24"/>
      <c r="K32" s="34" t="s">
        <v>22</v>
      </c>
      <c r="L32" s="24" t="s">
        <v>23</v>
      </c>
    </row>
    <row r="33" spans="1:12">
      <c r="A33" s="30"/>
      <c r="B33" s="30"/>
      <c r="C33" s="24">
        <v>1</v>
      </c>
      <c r="D33" s="24">
        <v>2</v>
      </c>
      <c r="E33" s="24">
        <v>3</v>
      </c>
      <c r="F33" s="24"/>
      <c r="G33" s="24"/>
      <c r="H33" s="24">
        <v>1</v>
      </c>
      <c r="I33" s="24">
        <v>2</v>
      </c>
      <c r="J33" s="24">
        <v>3</v>
      </c>
      <c r="K33" s="34"/>
      <c r="L33" s="34"/>
    </row>
    <row r="34" spans="1:12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</row>
    <row r="35" spans="1:12" ht="28.35" customHeight="1">
      <c r="A35" s="24">
        <v>1</v>
      </c>
      <c r="B35" s="25">
        <f>Data!D3</f>
        <v>0</v>
      </c>
      <c r="C35" s="25">
        <f>Data!D4-B35</f>
        <v>0</v>
      </c>
      <c r="D35" s="25">
        <f>Data!H4-B35</f>
        <v>0</v>
      </c>
      <c r="E35" s="25">
        <f>Data!L4-B35</f>
        <v>0</v>
      </c>
      <c r="F35" s="24">
        <f>MAX(C35:E35)</f>
        <v>0</v>
      </c>
      <c r="G35" s="24">
        <f>IF(VALUE(Data!E3)&lt;&gt;180, VALUE(Data!E3), "")</f>
        <v>0</v>
      </c>
      <c r="H35" s="24">
        <f>IF(ISNUMBER(G35), Data!E4 - G35, "")</f>
        <v>0</v>
      </c>
      <c r="I35" s="24">
        <f>IF(ISNUMBER(G35), Data!I4 - G35, "")</f>
        <v>0</v>
      </c>
      <c r="J35" s="24">
        <f>IF(ISNUMBER(G35), Data!M4 - G35, "")</f>
        <v>0</v>
      </c>
      <c r="K35" s="24">
        <f>IF(ISNUMBER(G35), SUM(H35:J35)/3, "")</f>
        <v>0</v>
      </c>
      <c r="L35" s="34" t="str">
        <f>IF(ISNUMBER(G35), TEXT(ABS(H35-K35), "0,0000") &amp; ", " &amp; TEXT(ABS(I35-K35), "0,0000") &amp; ", " &amp; TEXT(ABS(J35-K35), "0,0000"), "")</f>
        <v>0,0000, 0,0000, 0,0000</v>
      </c>
    </row>
    <row r="36" spans="1:12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</row>
    <row r="37" spans="1:12" ht="28.35" customHeight="1">
      <c r="A37" s="24">
        <v>2</v>
      </c>
      <c r="B37" s="24" t="str">
        <f>IF(VALUE(Data!E3)=180, VALUE(Data!E3), "")</f>
        <v/>
      </c>
      <c r="C37" s="24" t="str">
        <f>IF(ISNUMBER(B37), Data!E4 - B37, "")</f>
        <v/>
      </c>
      <c r="D37" s="24" t="str">
        <f>IF(ISNUMBER(B37), Data!I4 - B37, "")</f>
        <v/>
      </c>
      <c r="E37" s="24" t="str">
        <f>IF(ISNUMBER(B37), Data!M4 - B37, "")</f>
        <v/>
      </c>
      <c r="F37" s="24" t="str">
        <f>IF(ISNUMBER(B37), MAX(C37:E37), "")</f>
        <v/>
      </c>
      <c r="G37" s="24"/>
      <c r="H37" s="24"/>
      <c r="I37" s="24"/>
      <c r="J37" s="24"/>
      <c r="K37" s="24"/>
      <c r="L37" s="24"/>
    </row>
    <row r="38" spans="1:12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</row>
    <row r="39" spans="1:12">
      <c r="A39" s="37" t="str">
        <f>"Calibration result "</f>
        <v xml:space="preserve">Calibration result </v>
      </c>
      <c r="B39" s="37"/>
      <c r="C39" s="37"/>
      <c r="D39" s="37"/>
      <c r="E39" s="37"/>
      <c r="F39" s="41" t="s">
        <v>35</v>
      </c>
      <c r="G39" s="41"/>
      <c r="H39" s="41"/>
      <c r="I39" s="41"/>
      <c r="J39" s="41"/>
      <c r="K39" s="41"/>
      <c r="L39" s="41"/>
    </row>
    <row r="40" spans="1:12">
      <c r="A40" s="37"/>
      <c r="B40" s="37"/>
      <c r="C40" s="37"/>
      <c r="D40" s="37"/>
      <c r="E40" s="37"/>
      <c r="F40" s="18"/>
      <c r="G40" s="18"/>
      <c r="H40" s="18"/>
      <c r="I40" s="18"/>
      <c r="J40" s="18"/>
      <c r="K40" s="18"/>
      <c r="L40" s="18"/>
    </row>
    <row r="41" spans="1:12">
      <c r="A41" s="37"/>
      <c r="B41" s="37"/>
      <c r="C41" s="37"/>
      <c r="D41" s="37"/>
      <c r="E41" s="37"/>
      <c r="F41" s="18"/>
      <c r="G41" s="18"/>
      <c r="H41" s="18"/>
      <c r="I41" s="18"/>
      <c r="J41" s="18"/>
      <c r="K41" s="18"/>
      <c r="L41" s="18"/>
    </row>
    <row r="42" spans="1:12">
      <c r="A42" s="37"/>
      <c r="B42" s="37"/>
      <c r="C42" s="37"/>
      <c r="D42" s="37"/>
      <c r="E42" s="37"/>
      <c r="F42" s="18"/>
      <c r="G42" s="18"/>
      <c r="H42" s="18"/>
      <c r="I42" s="18"/>
      <c r="J42" s="18"/>
      <c r="K42" s="18"/>
      <c r="L42" s="18"/>
    </row>
    <row r="43" spans="1:12">
      <c r="A43" s="26" t="str">
        <f>"Calibration officer: "</f>
        <v xml:space="preserve">Calibration officer: </v>
      </c>
      <c r="B43" s="26"/>
      <c r="C43" s="26"/>
      <c r="D43" s="58">
        <f>Data!B14</f>
        <v>0</v>
      </c>
      <c r="E43" s="58"/>
      <c r="F43" s="58"/>
      <c r="G43" s="58"/>
      <c r="H43" s="58"/>
      <c r="I43" s="58"/>
      <c r="J43" s="58"/>
      <c r="K43" s="58"/>
      <c r="L43" s="58"/>
    </row>
    <row r="45" spans="1:12">
      <c r="A45" s="26" t="str">
        <f>"Calibration date: "</f>
        <v xml:space="preserve">Calibration date: </v>
      </c>
      <c r="B45" s="26"/>
      <c r="C45" s="26"/>
      <c r="D45" s="59">
        <f>Data!B2</f>
        <v>0</v>
      </c>
      <c r="E45" s="59"/>
      <c r="F45" s="59"/>
      <c r="G45" s="59"/>
      <c r="H45" s="59"/>
      <c r="I45" s="59"/>
      <c r="J45" s="59"/>
      <c r="K45" s="59"/>
      <c r="L45" s="59"/>
    </row>
    <row r="46" spans="1:12">
      <c r="A46"/>
      <c r="B46"/>
      <c r="C46"/>
      <c r="D46"/>
      <c r="E46"/>
      <c r="F46"/>
      <c r="G46"/>
      <c r="H46"/>
      <c r="I46"/>
      <c r="J46"/>
      <c r="K46"/>
      <c r="L46"/>
    </row>
    <row r="47" spans="1:12">
      <c r="A47"/>
      <c r="B47"/>
      <c r="C47"/>
      <c r="D47"/>
      <c r="E47"/>
      <c r="F47"/>
      <c r="G47"/>
      <c r="H47"/>
      <c r="I47"/>
      <c r="J47"/>
      <c r="K47"/>
      <c r="L47"/>
    </row>
    <row r="48" spans="1:12">
      <c r="A48"/>
      <c r="B48"/>
      <c r="C48"/>
      <c r="D48"/>
      <c r="E48"/>
      <c r="F48"/>
      <c r="G48"/>
      <c r="H48"/>
      <c r="I48"/>
      <c r="J48"/>
      <c r="K48"/>
      <c r="L48"/>
    </row>
    <row r="49" spans="1:12">
      <c r="A49"/>
      <c r="B49"/>
      <c r="C49"/>
      <c r="D49"/>
      <c r="E49"/>
      <c r="F49"/>
      <c r="G49"/>
      <c r="H49"/>
      <c r="I49"/>
      <c r="J49"/>
      <c r="K49"/>
      <c r="L49"/>
    </row>
  </sheetData>
  <mergeCells count="94">
    <mergeCell ref="A43:C43"/>
    <mergeCell ref="D43:L43"/>
    <mergeCell ref="A45:C45"/>
    <mergeCell ref="D45:L45"/>
    <mergeCell ref="F39:L42"/>
    <mergeCell ref="A39:E42"/>
    <mergeCell ref="K35:K36"/>
    <mergeCell ref="L35:L36"/>
    <mergeCell ref="A37:A38"/>
    <mergeCell ref="B37:B38"/>
    <mergeCell ref="C37:C38"/>
    <mergeCell ref="D37:D38"/>
    <mergeCell ref="E37:E38"/>
    <mergeCell ref="F37:F38"/>
    <mergeCell ref="G37:G38"/>
    <mergeCell ref="H37:H38"/>
    <mergeCell ref="I37:I38"/>
    <mergeCell ref="J37:J38"/>
    <mergeCell ref="K37:K38"/>
    <mergeCell ref="L37:L38"/>
    <mergeCell ref="B32:B34"/>
    <mergeCell ref="L32:L34"/>
    <mergeCell ref="C33:C34"/>
    <mergeCell ref="D33:D34"/>
    <mergeCell ref="E33:E34"/>
    <mergeCell ref="H33:H34"/>
    <mergeCell ref="I33:I34"/>
    <mergeCell ref="C32:E32"/>
    <mergeCell ref="F32:F34"/>
    <mergeCell ref="G32:G34"/>
    <mergeCell ref="H32:J32"/>
    <mergeCell ref="K32:K34"/>
    <mergeCell ref="J33:J34"/>
    <mergeCell ref="F35:F36"/>
    <mergeCell ref="G35:G36"/>
    <mergeCell ref="H35:H36"/>
    <mergeCell ref="I35:I36"/>
    <mergeCell ref="J35:J36"/>
    <mergeCell ref="A35:A36"/>
    <mergeCell ref="B35:B36"/>
    <mergeCell ref="C35:C36"/>
    <mergeCell ref="D35:D36"/>
    <mergeCell ref="E35:E36"/>
    <mergeCell ref="K24:K25"/>
    <mergeCell ref="L24:L25"/>
    <mergeCell ref="A26:A27"/>
    <mergeCell ref="B26:B27"/>
    <mergeCell ref="C26:C27"/>
    <mergeCell ref="D26:D27"/>
    <mergeCell ref="E26:E27"/>
    <mergeCell ref="F26:F27"/>
    <mergeCell ref="G26:G27"/>
    <mergeCell ref="H26:H27"/>
    <mergeCell ref="I26:I27"/>
    <mergeCell ref="J26:J27"/>
    <mergeCell ref="K26:K27"/>
    <mergeCell ref="L26:L27"/>
    <mergeCell ref="A28:A34"/>
    <mergeCell ref="I22:I23"/>
    <mergeCell ref="J22:J23"/>
    <mergeCell ref="A24:A25"/>
    <mergeCell ref="B24:B25"/>
    <mergeCell ref="C24:C25"/>
    <mergeCell ref="D24:D25"/>
    <mergeCell ref="E24:E25"/>
    <mergeCell ref="F24:F25"/>
    <mergeCell ref="G24:G25"/>
    <mergeCell ref="H24:H25"/>
    <mergeCell ref="I24:I25"/>
    <mergeCell ref="J24:J25"/>
    <mergeCell ref="B28:L28"/>
    <mergeCell ref="B29:F31"/>
    <mergeCell ref="G29:L31"/>
    <mergeCell ref="A15:L16"/>
    <mergeCell ref="A17:A23"/>
    <mergeCell ref="B17:L17"/>
    <mergeCell ref="B18:F20"/>
    <mergeCell ref="G18:L20"/>
    <mergeCell ref="B21:B23"/>
    <mergeCell ref="C21:E21"/>
    <mergeCell ref="F21:F23"/>
    <mergeCell ref="G21:G23"/>
    <mergeCell ref="H21:J21"/>
    <mergeCell ref="K21:K23"/>
    <mergeCell ref="L21:L23"/>
    <mergeCell ref="C22:C23"/>
    <mergeCell ref="D22:D23"/>
    <mergeCell ref="E22:E23"/>
    <mergeCell ref="H22:H23"/>
    <mergeCell ref="A4:L6"/>
    <mergeCell ref="A7:L8"/>
    <mergeCell ref="A9:L10"/>
    <mergeCell ref="A11:L12"/>
    <mergeCell ref="A13:L14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23"/>
  <sheetViews>
    <sheetView zoomScale="90" zoomScaleNormal="90" workbookViewId="0">
      <selection activeCell="B3" sqref="B3"/>
    </sheetView>
  </sheetViews>
  <sheetFormatPr defaultColWidth="11.5703125" defaultRowHeight="15.75"/>
  <cols>
    <col min="1" max="1" width="26.42578125" style="12" customWidth="1"/>
    <col min="2" max="64" width="25.5703125" style="13" customWidth="1"/>
    <col min="65" max="16384" width="11.5703125" style="15"/>
  </cols>
  <sheetData>
    <row r="1" spans="1:64" s="16" customFormat="1">
      <c r="A1" s="12" t="s">
        <v>30</v>
      </c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s="40" customFormat="1">
      <c r="A2" s="12" t="s">
        <v>24</v>
      </c>
      <c r="B2" s="39">
        <v>0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</row>
    <row r="3" spans="1:64" s="16" customFormat="1">
      <c r="A3" s="12" t="s">
        <v>25</v>
      </c>
      <c r="B3" s="14" t="s">
        <v>29</v>
      </c>
      <c r="C3" s="14"/>
      <c r="D3" s="14"/>
      <c r="E3" s="14"/>
      <c r="F3" s="14"/>
      <c r="G3" s="14"/>
      <c r="H3" s="14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 s="16" customFormat="1">
      <c r="A4" s="12" t="s">
        <v>26</v>
      </c>
      <c r="B4" s="14" t="s">
        <v>29</v>
      </c>
      <c r="C4" s="14"/>
      <c r="D4" s="14"/>
      <c r="E4" s="14"/>
      <c r="F4" s="14"/>
      <c r="G4" s="14"/>
      <c r="H4" s="14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 s="16" customFormat="1">
      <c r="A5" s="12" t="s">
        <v>27</v>
      </c>
      <c r="B5" s="13">
        <v>0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 s="16" customFormat="1">
      <c r="A6" s="12" t="s">
        <v>28</v>
      </c>
      <c r="B6" s="13">
        <v>0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8" spans="1:64">
      <c r="B8" s="14"/>
    </row>
    <row r="10" spans="1:64">
      <c r="B10" s="14"/>
    </row>
    <row r="16" spans="1:64">
      <c r="B16" s="14"/>
    </row>
    <row r="18" spans="2:2">
      <c r="B18" s="14"/>
    </row>
    <row r="19" spans="2:2">
      <c r="B19" s="14"/>
    </row>
    <row r="21" spans="2:2">
      <c r="B21" s="14"/>
    </row>
    <row r="23" spans="2:2">
      <c r="B23" s="14"/>
    </row>
  </sheetData>
  <pageMargins left="0.78749999999999998" right="0.78749999999999998" top="0.88611111111111096" bottom="0.88611111111111096" header="0.78749999999999998" footer="0.78749999999999998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tabSelected="1" zoomScale="90" zoomScaleNormal="90" workbookViewId="0">
      <selection activeCell="F44" sqref="F44"/>
    </sheetView>
  </sheetViews>
  <sheetFormatPr defaultColWidth="11.5703125" defaultRowHeight="12.75"/>
  <sheetData>
    <row r="1" spans="1:16" ht="12.75" customHeight="1">
      <c r="A1" s="38" t="s">
        <v>31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spans="1:16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</row>
    <row r="3" spans="1:16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</row>
    <row r="5" spans="1:16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</row>
    <row r="6" spans="1:16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</row>
    <row r="7" spans="1:16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</row>
    <row r="8" spans="1:16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1:16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</row>
    <row r="10" spans="1:16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1:16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</row>
    <row r="12" spans="1:16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1:16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</row>
    <row r="14" spans="1:16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</row>
    <row r="15" spans="1:16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</row>
    <row r="16" spans="1:16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</row>
    <row r="17" spans="1:16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</row>
    <row r="18" spans="1:16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</row>
    <row r="19" spans="1:16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</row>
    <row r="20" spans="1:16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2" spans="1:16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</row>
    <row r="23" spans="1:16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</row>
    <row r="24" spans="1:16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</row>
    <row r="25" spans="1:16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</row>
    <row r="26" spans="1:16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</row>
    <row r="27" spans="1:16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</row>
    <row r="28" spans="1:16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</row>
    <row r="29" spans="1:16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</row>
    <row r="30" spans="1:16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</row>
    <row r="31" spans="1:16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</row>
    <row r="32" spans="1:16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</row>
    <row r="33" spans="1:16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</row>
    <row r="34" spans="1:16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</row>
  </sheetData>
  <mergeCells count="1">
    <mergeCell ref="A1:P34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GOST 8.423-81</vt:lpstr>
      <vt:lpstr>GOST 8.423-81 (2)</vt:lpstr>
      <vt:lpstr>Data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503</cp:lastModifiedBy>
  <dcterms:modified xsi:type="dcterms:W3CDTF">2021-09-06T07:21:27Z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2017-10-20T23:41:04Z</dcterms:created>
  <dc:creator/>
  <dc:description/>
  <dc:language>ru-RU</dc:language>
  <cp:lastModifiedBy/>
  <cp:lastPrinted>2019-06-28T17:30:06Z</cp:lastPrinted>
  <dcterms:modified xsi:type="dcterms:W3CDTF">2020-11-11T10:15:50Z</dcterms:modified>
  <cp:revision>56</cp:revision>
  <dc:subject/>
  <dc:title/>
</cp:coreProperties>
</file>