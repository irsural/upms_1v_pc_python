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5-10\dev\УПМС-1В\Папки\Перевод УПМС-1В\Окончательный перевод\"/>
    </mc:Choice>
  </mc:AlternateContent>
  <bookViews>
    <workbookView xWindow="0" yWindow="0" windowWidth="16380" windowHeight="8190" tabRatio="500" activeTab="2"/>
  </bookViews>
  <sheets>
    <sheet name="Mechanical clock" sheetId="1" r:id="rId1"/>
    <sheet name="ACHS-watch" sheetId="2" r:id="rId2"/>
    <sheet name="Data" sheetId="3" r:id="rId3"/>
  </sheets>
  <calcPr calcId="162913"/>
  <extLs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1" i="1" l="1"/>
  <c r="A48" i="1"/>
  <c r="A41" i="2"/>
  <c r="A1" i="2"/>
  <c r="A39" i="2" l="1"/>
  <c r="A46" i="1"/>
  <c r="I28" i="2" l="1"/>
  <c r="D37" i="2" s="1"/>
  <c r="D23" i="2"/>
  <c r="D21" i="2"/>
  <c r="K16" i="2"/>
  <c r="H16" i="2"/>
  <c r="K15" i="2"/>
  <c r="H15" i="2"/>
  <c r="K14" i="2"/>
  <c r="H14" i="2"/>
  <c r="K13" i="2"/>
  <c r="H13" i="2"/>
  <c r="K12" i="2"/>
  <c r="H12" i="2"/>
  <c r="F8" i="2"/>
  <c r="F6" i="2"/>
  <c r="F5" i="2"/>
  <c r="F4" i="2"/>
  <c r="F20" i="1"/>
  <c r="D44" i="1" s="1"/>
  <c r="K16" i="1"/>
  <c r="H16" i="1"/>
  <c r="K15" i="1"/>
  <c r="H15" i="1"/>
  <c r="K14" i="1"/>
  <c r="H14" i="1"/>
  <c r="K13" i="1"/>
  <c r="H13" i="1"/>
  <c r="K12" i="1"/>
  <c r="H12" i="1"/>
  <c r="F8" i="1"/>
  <c r="F6" i="1"/>
  <c r="F5" i="1"/>
  <c r="F4" i="1"/>
</calcChain>
</file>

<file path=xl/sharedStrings.xml><?xml version="1.0" encoding="utf-8"?>
<sst xmlns="http://schemas.openxmlformats.org/spreadsheetml/2006/main" count="80" uniqueCount="48">
  <si>
    <t>Designation, type:</t>
  </si>
  <si>
    <t>Accessory:</t>
  </si>
  <si>
    <t>Calibration reference documentation:</t>
  </si>
  <si>
    <t>Calibration conditions:</t>
  </si>
  <si>
    <t xml:space="preserve">temperature, °C </t>
  </si>
  <si>
    <t>humidity, %</t>
  </si>
  <si>
    <t>pressure, mm Hg</t>
  </si>
  <si>
    <t>mains voltage, V</t>
  </si>
  <si>
    <t>mains frequency, Hz</t>
  </si>
  <si>
    <t>Calibration operations:</t>
  </si>
  <si>
    <t>1. External inspection:</t>
  </si>
  <si>
    <t>2. Determination of daily and average daily rate:</t>
  </si>
  <si>
    <t>3. Checking start-up and commencement of operation</t>
  </si>
  <si>
    <t>4. Checking the winding mechanism operation</t>
  </si>
  <si>
    <t>5. Checking the stopwatch hands return</t>
  </si>
  <si>
    <t>6. Checking hands consistency</t>
  </si>
  <si>
    <t>7. Checking the stopwatch hands offset</t>
  </si>
  <si>
    <t>8. Checking the presence and sequence of closing contacts during the stopwatch mechanism operation (for 59CHP clock)</t>
  </si>
  <si>
    <t>9. Insulation resistance testing. Checking the temperature regulator operation (for 123CHS, 124CHS clock)</t>
  </si>
  <si>
    <t>Calibration results:</t>
  </si>
  <si>
    <t>Tolerance</t>
  </si>
  <si>
    <t>15...25</t>
  </si>
  <si>
    <t>50...80</t>
  </si>
  <si>
    <t>630...795</t>
  </si>
  <si>
    <t>198.0(242.0)</t>
  </si>
  <si>
    <t>49.0(51.0)</t>
  </si>
  <si>
    <t>Reject/Accepted</t>
  </si>
  <si>
    <t>Measured value</t>
  </si>
  <si>
    <t>Control tool</t>
  </si>
  <si>
    <t>2. Testing</t>
  </si>
  <si>
    <t>3. Determination of metrological characteristics</t>
  </si>
  <si>
    <t>Operation</t>
  </si>
  <si>
    <t>Insulation resistance testing</t>
  </si>
  <si>
    <t>Determination of daily and average daily rate</t>
  </si>
  <si>
    <t>Calibration results</t>
  </si>
  <si>
    <t>Allowed value</t>
  </si>
  <si>
    <t>±20 s</t>
  </si>
  <si>
    <t>MP 80-262-2004</t>
  </si>
  <si>
    <t>Date</t>
  </si>
  <si>
    <t>Measurement interval</t>
  </si>
  <si>
    <t>Result</t>
  </si>
  <si>
    <t>Comment</t>
  </si>
  <si>
    <t>0</t>
  </si>
  <si>
    <t>Factory #:</t>
  </si>
  <si>
    <t>Standards used:
(measuring instruments)</t>
  </si>
  <si>
    <t>20 Mohm min</t>
  </si>
  <si>
    <t>Measurement #</t>
  </si>
  <si>
    <t>M2.813.004 MU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</si>
</sst>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&quot;ИСТИНА&quot;;&quot;ИСТИНА&quot;;&quot;ЛОЖЬ&quot;"/>
  </numFmts>
  <fonts count="7">
    <font>
      <sz val="10"/>
      <name val="Arial"/>
      <family val="2"/>
      <charset val="204"/>
    </font>
    <font>
      <sz val="10"/>
      <color rgb="FF000000"/>
      <name val="Mangal"/>
      <family val="2"/>
      <charset val="204"/>
    </font>
    <font>
      <sz val="11"/>
      <name val="Arial"/>
      <family val="2"/>
      <charset val="204"/>
    </font>
    <font>
      <i/>
      <sz val="11"/>
      <name val="Arial"/>
      <family val="2"/>
      <charset val="204"/>
    </font>
    <font>
      <sz val="11"/>
      <name val="Arial"/>
      <charset val="204"/>
    </font>
    <font>
      <b/>
      <sz val="12"/>
      <name val="Arial"/>
      <family val="2"/>
      <charset val="204"/>
    </font>
    <font>
      <sz val="12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">
    <xf numFmtId="0" fontId="0" fillId="0" borderId="0"/>
    <xf numFmtId="0" fontId="1" fillId="0" borderId="0" applyBorder="0" applyAlignment="0" applyProtection="0"/>
  </cellStyleXfs>
  <cellXfs count="31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left"/>
    </xf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top"/>
    </xf>
    <xf numFmtId="0" fontId="2" fillId="0" borderId="1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49" fontId="2" fillId="0" borderId="1" xfId="0" applyNumberFormat="1" applyFont="1" applyBorder="1" applyAlignment="1">
      <alignment horizontal="left" vertical="center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</cellXfs>
  <cellStyles count="2">
    <cellStyle name="Заголовок" xfId="1"/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8"/>
  <sheetViews>
    <sheetView topLeftCell="A10" zoomScale="90" zoomScaleNormal="90" workbookViewId="0">
      <selection sqref="A1:L3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25" t="str">
        <f>"MECHANICAL CLOCK"  &amp; CHAR(10) &amp; "CALIBRATION PROTOCOL" &amp; CHAR(10) &amp; " # " &amp; Data!B8</f>
        <v xml:space="preserve">MECHANICAL CLOCK
CALIBRATION PROTOCOL
 # 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3">
      <c r="A4" s="17" t="s">
        <v>0</v>
      </c>
      <c r="B4" s="17"/>
      <c r="C4" s="17"/>
      <c r="D4" s="17"/>
      <c r="E4" s="17"/>
      <c r="F4" s="17">
        <f>Data!B9</f>
        <v>0</v>
      </c>
      <c r="G4" s="17"/>
      <c r="H4" s="17"/>
      <c r="I4" s="17"/>
      <c r="J4" s="17"/>
      <c r="K4" s="17"/>
      <c r="L4" s="17"/>
    </row>
    <row r="5" spans="1:13">
      <c r="A5" s="22" t="s">
        <v>43</v>
      </c>
      <c r="B5" s="22"/>
      <c r="C5" s="22"/>
      <c r="D5" s="22"/>
      <c r="E5" s="22"/>
      <c r="F5" s="26">
        <f>Data!B10</f>
        <v>0</v>
      </c>
      <c r="G5" s="17"/>
      <c r="H5" s="17"/>
      <c r="I5" s="17"/>
      <c r="J5" s="17"/>
      <c r="K5" s="17"/>
      <c r="L5" s="17"/>
    </row>
    <row r="6" spans="1:13">
      <c r="A6" s="17" t="s">
        <v>1</v>
      </c>
      <c r="B6" s="17"/>
      <c r="C6" s="17"/>
      <c r="D6" s="17"/>
      <c r="E6" s="17"/>
      <c r="F6" s="17">
        <f>Data!B11</f>
        <v>0</v>
      </c>
      <c r="G6" s="17"/>
      <c r="H6" s="17"/>
      <c r="I6" s="17"/>
      <c r="J6" s="17"/>
      <c r="K6" s="17"/>
      <c r="L6" s="17"/>
    </row>
    <row r="7" spans="1:13">
      <c r="A7" s="22" t="s">
        <v>2</v>
      </c>
      <c r="B7" s="22"/>
      <c r="C7" s="22"/>
      <c r="D7" s="22"/>
      <c r="E7" s="22"/>
      <c r="F7" s="23" t="s">
        <v>47</v>
      </c>
      <c r="G7" s="23"/>
      <c r="H7" s="23"/>
      <c r="I7" s="23"/>
      <c r="J7" s="23"/>
      <c r="K7" s="23"/>
      <c r="L7" s="23"/>
    </row>
    <row r="8" spans="1:13" ht="13.9" customHeight="1">
      <c r="A8" s="24" t="s">
        <v>44</v>
      </c>
      <c r="B8" s="24"/>
      <c r="C8" s="24"/>
      <c r="D8" s="24"/>
      <c r="E8" s="24"/>
      <c r="F8" s="17">
        <f>Data!B12</f>
        <v>0</v>
      </c>
      <c r="G8" s="17"/>
      <c r="H8" s="17"/>
      <c r="I8" s="17"/>
      <c r="J8" s="17"/>
      <c r="K8" s="17"/>
      <c r="L8" s="17"/>
      <c r="M8" s="2"/>
    </row>
    <row r="9" spans="1:13">
      <c r="A9" s="24"/>
      <c r="B9" s="24"/>
      <c r="C9" s="24"/>
      <c r="D9" s="24"/>
      <c r="E9" s="24"/>
      <c r="F9" s="17"/>
      <c r="G9" s="17"/>
      <c r="H9" s="17"/>
      <c r="I9" s="17"/>
      <c r="J9" s="17"/>
      <c r="K9" s="17"/>
      <c r="L9" s="17"/>
      <c r="M9" s="2"/>
    </row>
    <row r="10" spans="1:13" ht="13.9" customHeight="1">
      <c r="A10" s="20" t="s">
        <v>3</v>
      </c>
      <c r="B10" s="20"/>
      <c r="C10" s="20"/>
      <c r="D10" s="20"/>
      <c r="E10" s="20"/>
      <c r="F10" s="18" t="s">
        <v>20</v>
      </c>
      <c r="G10" s="18"/>
      <c r="H10" s="21" t="s">
        <v>27</v>
      </c>
      <c r="I10" s="21"/>
      <c r="J10" s="21"/>
      <c r="K10" s="21" t="s">
        <v>28</v>
      </c>
      <c r="L10" s="21"/>
    </row>
    <row r="11" spans="1:13">
      <c r="A11" s="20"/>
      <c r="B11" s="20"/>
      <c r="C11" s="20"/>
      <c r="D11" s="20"/>
      <c r="E11" s="20"/>
      <c r="F11" s="18"/>
      <c r="G11" s="18"/>
      <c r="H11" s="21"/>
      <c r="I11" s="21"/>
      <c r="J11" s="21"/>
      <c r="K11" s="21"/>
      <c r="L11" s="21"/>
    </row>
    <row r="12" spans="1:13">
      <c r="A12" s="17" t="s">
        <v>4</v>
      </c>
      <c r="B12" s="17"/>
      <c r="C12" s="17"/>
      <c r="D12" s="17"/>
      <c r="E12" s="17"/>
      <c r="F12" s="18" t="s">
        <v>21</v>
      </c>
      <c r="G12" s="18"/>
      <c r="H12" s="18">
        <f>Data!B15</f>
        <v>0</v>
      </c>
      <c r="I12" s="18"/>
      <c r="J12" s="18"/>
      <c r="K12" s="19">
        <f>Data!B16</f>
        <v>0</v>
      </c>
      <c r="L12" s="18"/>
    </row>
    <row r="13" spans="1:13">
      <c r="A13" s="17" t="s">
        <v>5</v>
      </c>
      <c r="B13" s="17"/>
      <c r="C13" s="17"/>
      <c r="D13" s="17"/>
      <c r="E13" s="17"/>
      <c r="F13" s="18" t="s">
        <v>22</v>
      </c>
      <c r="G13" s="18"/>
      <c r="H13" s="18">
        <f>Data!B17</f>
        <v>0</v>
      </c>
      <c r="I13" s="18"/>
      <c r="J13" s="18"/>
      <c r="K13" s="19">
        <f>Data!B18</f>
        <v>0</v>
      </c>
      <c r="L13" s="18"/>
    </row>
    <row r="14" spans="1:13">
      <c r="A14" s="17" t="s">
        <v>6</v>
      </c>
      <c r="B14" s="17"/>
      <c r="C14" s="17"/>
      <c r="D14" s="17"/>
      <c r="E14" s="17"/>
      <c r="F14" s="18" t="s">
        <v>23</v>
      </c>
      <c r="G14" s="18"/>
      <c r="H14" s="19">
        <f>Data!B19</f>
        <v>0</v>
      </c>
      <c r="I14" s="18"/>
      <c r="J14" s="18"/>
      <c r="K14" s="18">
        <f>Data!B20</f>
        <v>0</v>
      </c>
      <c r="L14" s="18"/>
    </row>
    <row r="15" spans="1:13">
      <c r="A15" s="17" t="s">
        <v>7</v>
      </c>
      <c r="B15" s="17"/>
      <c r="C15" s="17"/>
      <c r="D15" s="17"/>
      <c r="E15" s="17"/>
      <c r="F15" s="18" t="s">
        <v>24</v>
      </c>
      <c r="G15" s="18"/>
      <c r="H15" s="19">
        <f>Data!B21</f>
        <v>0</v>
      </c>
      <c r="I15" s="18"/>
      <c r="J15" s="18"/>
      <c r="K15" s="18">
        <f>Data!B22</f>
        <v>0</v>
      </c>
      <c r="L15" s="18"/>
    </row>
    <row r="16" spans="1:13">
      <c r="A16" s="17" t="s">
        <v>8</v>
      </c>
      <c r="B16" s="17"/>
      <c r="C16" s="17"/>
      <c r="D16" s="17"/>
      <c r="E16" s="17"/>
      <c r="F16" s="18" t="s">
        <v>25</v>
      </c>
      <c r="G16" s="18"/>
      <c r="H16" s="19">
        <f>Data!B23</f>
        <v>0</v>
      </c>
      <c r="I16" s="18"/>
      <c r="J16" s="18"/>
      <c r="K16" s="18">
        <f>Data!B24</f>
        <v>0</v>
      </c>
      <c r="L16" s="18"/>
    </row>
    <row r="17" spans="1:16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6">
      <c r="A18" s="12" t="s">
        <v>9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</row>
    <row r="19" spans="1:16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6" ht="13.9" customHeight="1">
      <c r="A20" s="13" t="s">
        <v>10</v>
      </c>
      <c r="B20" s="13"/>
      <c r="C20" s="13"/>
      <c r="D20" s="13"/>
      <c r="E20" s="13"/>
      <c r="F20" s="14">
        <f>Data!B25</f>
        <v>0</v>
      </c>
      <c r="G20" s="14"/>
      <c r="H20" s="14"/>
      <c r="I20" s="14"/>
      <c r="J20" s="14"/>
      <c r="K20" s="14"/>
      <c r="L20" s="14"/>
    </row>
    <row r="21" spans="1:16">
      <c r="A21" s="13"/>
      <c r="B21" s="13"/>
      <c r="C21" s="13"/>
      <c r="D21" s="13"/>
      <c r="E21" s="13"/>
      <c r="F21" s="14"/>
      <c r="G21" s="14"/>
      <c r="H21" s="14"/>
      <c r="I21" s="14"/>
      <c r="J21" s="14"/>
      <c r="K21" s="14"/>
      <c r="L21" s="14"/>
    </row>
    <row r="22" spans="1:16" ht="13.9" customHeight="1">
      <c r="A22" s="13" t="s">
        <v>11</v>
      </c>
      <c r="B22" s="13"/>
      <c r="C22" s="13"/>
      <c r="D22" s="13"/>
      <c r="E22" s="13"/>
      <c r="F22" s="14" t="s">
        <v>26</v>
      </c>
      <c r="G22" s="14"/>
      <c r="H22" s="14"/>
      <c r="I22" s="14"/>
      <c r="J22" s="14"/>
      <c r="K22" s="14"/>
      <c r="L22" s="14"/>
    </row>
    <row r="23" spans="1:16" ht="15.75" customHeight="1">
      <c r="A23" s="13"/>
      <c r="B23" s="13"/>
      <c r="C23" s="13"/>
      <c r="D23" s="13"/>
      <c r="E23" s="13"/>
      <c r="F23" s="14"/>
      <c r="G23" s="14"/>
      <c r="H23" s="14"/>
      <c r="I23" s="14"/>
      <c r="J23" s="14"/>
      <c r="K23" s="14"/>
      <c r="L23" s="14"/>
    </row>
    <row r="24" spans="1:16" ht="13.9" customHeight="1">
      <c r="A24" s="13" t="s">
        <v>12</v>
      </c>
      <c r="B24" s="13"/>
      <c r="C24" s="13"/>
      <c r="D24" s="13"/>
      <c r="E24" s="13"/>
      <c r="F24" s="14" t="s">
        <v>26</v>
      </c>
      <c r="G24" s="14"/>
      <c r="H24" s="14"/>
      <c r="I24" s="14"/>
      <c r="J24" s="14"/>
      <c r="K24" s="14"/>
      <c r="L24" s="14"/>
    </row>
    <row r="25" spans="1:16">
      <c r="A25" s="13"/>
      <c r="B25" s="13"/>
      <c r="C25" s="13"/>
      <c r="D25" s="13"/>
      <c r="E25" s="13"/>
      <c r="F25" s="14"/>
      <c r="G25" s="14"/>
      <c r="H25" s="14"/>
      <c r="I25" s="14"/>
      <c r="J25" s="14"/>
      <c r="K25" s="14"/>
      <c r="L25" s="14"/>
      <c r="P25" s="5"/>
    </row>
    <row r="26" spans="1:16" ht="13.9" customHeight="1">
      <c r="A26" s="13" t="s">
        <v>13</v>
      </c>
      <c r="B26" s="13"/>
      <c r="C26" s="13"/>
      <c r="D26" s="13"/>
      <c r="E26" s="13"/>
      <c r="F26" s="14" t="s">
        <v>26</v>
      </c>
      <c r="G26" s="14"/>
      <c r="H26" s="14"/>
      <c r="I26" s="14"/>
      <c r="J26" s="14"/>
      <c r="K26" s="14"/>
      <c r="L26" s="14"/>
    </row>
    <row r="27" spans="1:16">
      <c r="A27" s="13"/>
      <c r="B27" s="13"/>
      <c r="C27" s="13"/>
      <c r="D27" s="13"/>
      <c r="E27" s="13"/>
      <c r="F27" s="14"/>
      <c r="G27" s="14"/>
      <c r="H27" s="14"/>
      <c r="I27" s="14"/>
      <c r="J27" s="14"/>
      <c r="K27" s="14"/>
      <c r="L27" s="14"/>
    </row>
    <row r="28" spans="1:16" ht="13.9" customHeight="1">
      <c r="A28" s="13" t="s">
        <v>14</v>
      </c>
      <c r="B28" s="13"/>
      <c r="C28" s="13"/>
      <c r="D28" s="13"/>
      <c r="E28" s="13"/>
      <c r="F28" s="14" t="s">
        <v>26</v>
      </c>
      <c r="G28" s="14"/>
      <c r="H28" s="14"/>
      <c r="I28" s="14"/>
      <c r="J28" s="14"/>
      <c r="K28" s="14"/>
      <c r="L28" s="14"/>
    </row>
    <row r="29" spans="1:16">
      <c r="A29" s="13"/>
      <c r="B29" s="13"/>
      <c r="C29" s="13"/>
      <c r="D29" s="13"/>
      <c r="E29" s="13"/>
      <c r="F29" s="14"/>
      <c r="G29" s="14"/>
      <c r="H29" s="14"/>
      <c r="I29" s="14"/>
      <c r="J29" s="14"/>
      <c r="K29" s="14"/>
      <c r="L29" s="14"/>
    </row>
    <row r="30" spans="1:16" ht="13.9" customHeight="1">
      <c r="A30" s="13" t="s">
        <v>15</v>
      </c>
      <c r="B30" s="13"/>
      <c r="C30" s="13"/>
      <c r="D30" s="13"/>
      <c r="E30" s="13"/>
      <c r="F30" s="14" t="s">
        <v>26</v>
      </c>
      <c r="G30" s="14"/>
      <c r="H30" s="14"/>
      <c r="I30" s="14"/>
      <c r="J30" s="14"/>
      <c r="K30" s="14"/>
      <c r="L30" s="14"/>
    </row>
    <row r="31" spans="1:16">
      <c r="A31" s="13"/>
      <c r="B31" s="13"/>
      <c r="C31" s="13"/>
      <c r="D31" s="13"/>
      <c r="E31" s="13"/>
      <c r="F31" s="14"/>
      <c r="G31" s="14"/>
      <c r="H31" s="14"/>
      <c r="I31" s="14"/>
      <c r="J31" s="14"/>
      <c r="K31" s="14"/>
      <c r="L31" s="14"/>
    </row>
    <row r="32" spans="1:16" ht="13.9" customHeight="1">
      <c r="A32" s="13" t="s">
        <v>16</v>
      </c>
      <c r="B32" s="13"/>
      <c r="C32" s="13"/>
      <c r="D32" s="13"/>
      <c r="E32" s="13"/>
      <c r="F32" s="14" t="s">
        <v>26</v>
      </c>
      <c r="G32" s="14"/>
      <c r="H32" s="14"/>
      <c r="I32" s="14"/>
      <c r="J32" s="14"/>
      <c r="K32" s="14"/>
      <c r="L32" s="14"/>
    </row>
    <row r="33" spans="1:12">
      <c r="A33" s="13"/>
      <c r="B33" s="13"/>
      <c r="C33" s="13"/>
      <c r="D33" s="13"/>
      <c r="E33" s="13"/>
      <c r="F33" s="14"/>
      <c r="G33" s="14"/>
      <c r="H33" s="14"/>
      <c r="I33" s="14"/>
      <c r="J33" s="14"/>
      <c r="K33" s="14"/>
      <c r="L33" s="14"/>
    </row>
    <row r="34" spans="1:12" ht="13.9" customHeight="1">
      <c r="A34" s="13" t="s">
        <v>17</v>
      </c>
      <c r="B34" s="13"/>
      <c r="C34" s="13"/>
      <c r="D34" s="13"/>
      <c r="E34" s="13"/>
      <c r="F34" s="14" t="s">
        <v>26</v>
      </c>
      <c r="G34" s="14"/>
      <c r="H34" s="14"/>
      <c r="I34" s="14"/>
      <c r="J34" s="14"/>
      <c r="K34" s="14"/>
      <c r="L34" s="14"/>
    </row>
    <row r="35" spans="1:12">
      <c r="A35" s="13"/>
      <c r="B35" s="13"/>
      <c r="C35" s="13"/>
      <c r="D35" s="13"/>
      <c r="E35" s="13"/>
      <c r="F35" s="14"/>
      <c r="G35" s="14"/>
      <c r="H35" s="14"/>
      <c r="I35" s="14"/>
      <c r="J35" s="14"/>
      <c r="K35" s="14"/>
      <c r="L35" s="14"/>
    </row>
    <row r="36" spans="1:12">
      <c r="A36" s="13"/>
      <c r="B36" s="13"/>
      <c r="C36" s="13"/>
      <c r="D36" s="13"/>
      <c r="E36" s="13"/>
      <c r="F36" s="14"/>
      <c r="G36" s="14"/>
      <c r="H36" s="14"/>
      <c r="I36" s="14"/>
      <c r="J36" s="14"/>
      <c r="K36" s="14"/>
      <c r="L36" s="14"/>
    </row>
    <row r="37" spans="1:12">
      <c r="A37" s="13"/>
      <c r="B37" s="13"/>
      <c r="C37" s="13"/>
      <c r="D37" s="13"/>
      <c r="E37" s="13"/>
      <c r="F37" s="14"/>
      <c r="G37" s="14"/>
      <c r="H37" s="14"/>
      <c r="I37" s="14"/>
      <c r="J37" s="14"/>
      <c r="K37" s="14"/>
      <c r="L37" s="14"/>
    </row>
    <row r="38" spans="1:12" ht="13.9" customHeight="1">
      <c r="A38" s="13" t="s">
        <v>18</v>
      </c>
      <c r="B38" s="13"/>
      <c r="C38" s="13"/>
      <c r="D38" s="13"/>
      <c r="E38" s="13"/>
      <c r="F38" s="14" t="s">
        <v>26</v>
      </c>
      <c r="G38" s="14"/>
      <c r="H38" s="14"/>
      <c r="I38" s="14"/>
      <c r="J38" s="14"/>
      <c r="K38" s="14"/>
      <c r="L38" s="14"/>
    </row>
    <row r="39" spans="1:12">
      <c r="A39" s="13"/>
      <c r="B39" s="13"/>
      <c r="C39" s="13"/>
      <c r="D39" s="13"/>
      <c r="E39" s="13"/>
      <c r="F39" s="14"/>
      <c r="G39" s="14"/>
      <c r="H39" s="14"/>
      <c r="I39" s="14"/>
      <c r="J39" s="14"/>
      <c r="K39" s="14"/>
      <c r="L39" s="14"/>
    </row>
    <row r="40" spans="1:12">
      <c r="A40" s="13"/>
      <c r="B40" s="13"/>
      <c r="C40" s="13"/>
      <c r="D40" s="13"/>
      <c r="E40" s="13"/>
      <c r="F40" s="14"/>
      <c r="G40" s="14"/>
      <c r="H40" s="14"/>
      <c r="I40" s="14"/>
      <c r="J40" s="14"/>
      <c r="K40" s="14"/>
      <c r="L40" s="14"/>
    </row>
    <row r="41" spans="1:12">
      <c r="A41" s="13"/>
      <c r="B41" s="13"/>
      <c r="C41" s="13"/>
      <c r="D41" s="13"/>
      <c r="E41" s="13"/>
      <c r="F41" s="14"/>
      <c r="G41" s="14"/>
      <c r="H41" s="14"/>
      <c r="I41" s="14"/>
      <c r="J41" s="14"/>
      <c r="K41" s="14"/>
      <c r="L41" s="14"/>
    </row>
    <row r="42" spans="1:12">
      <c r="A42" s="6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spans="1:12">
      <c r="A43"/>
      <c r="B43"/>
      <c r="C43"/>
      <c r="D43"/>
      <c r="E43"/>
      <c r="F43"/>
      <c r="G43"/>
      <c r="H43"/>
      <c r="I43"/>
      <c r="J43"/>
      <c r="K43"/>
      <c r="L43"/>
    </row>
    <row r="44" spans="1:12">
      <c r="A44" s="15" t="s">
        <v>19</v>
      </c>
      <c r="B44" s="15"/>
      <c r="C44" s="15"/>
      <c r="D44" s="16" t="str">
        <f>IF(AND(F20="Accepted", F22="Accepted", F24="Accepted", F26="Accepted", F28="Accepted", F30="Accepted", F32="Accepted", F34="Accepted", F38="Accepted"), "Accepted", "Reject")</f>
        <v>Reject</v>
      </c>
      <c r="E44" s="16"/>
      <c r="F44" s="16"/>
      <c r="G44" s="16"/>
      <c r="H44" s="16"/>
      <c r="I44" s="16"/>
      <c r="J44" s="16"/>
      <c r="K44" s="16"/>
      <c r="L44" s="16"/>
    </row>
    <row r="45" spans="1:12">
      <c r="A45"/>
      <c r="B45"/>
      <c r="C45"/>
      <c r="D45"/>
      <c r="E45"/>
      <c r="F45"/>
      <c r="G45"/>
      <c r="H45"/>
      <c r="I45"/>
      <c r="J45"/>
      <c r="K45"/>
      <c r="L45"/>
    </row>
    <row r="46" spans="1:12">
      <c r="A46" s="12" t="str">
        <f>"Calibration officer: " &amp; Data!B14</f>
        <v xml:space="preserve">Calibration officer: </v>
      </c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</row>
    <row r="48" spans="1:12">
      <c r="A48" s="12" t="e">
        <f>"Calibration date: " &amp; DAY(DATEVALUE(LEFT(Data!B2, 5) &amp; "-" &amp; MID(Data!B2, 7, 2) &amp; "-" &amp; MID(Data!B2, 10, 2))) &amp; "." &amp; MONTH(DATEVALUE(LEFT(Data!B2, 5) &amp; "-" &amp; MID(Data!B2, 7, 2) &amp; "-" &amp; MID(Data!B2, 10, 2)))  &amp; "." &amp; YEAR(DATEVALUE(LEFT(Data!B2, 5) &amp; "-" &amp; MID(Data!B2, 7, 2) &amp; "-" &amp; MID(Data!B2, 10, 2)))</f>
        <v>#VALUE!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</row>
  </sheetData>
  <mergeCells count="59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8:L18"/>
    <mergeCell ref="A20:E21"/>
    <mergeCell ref="F20:L21"/>
    <mergeCell ref="A22:E23"/>
    <mergeCell ref="F22:L23"/>
    <mergeCell ref="A24:E25"/>
    <mergeCell ref="F24:L25"/>
    <mergeCell ref="A26:E27"/>
    <mergeCell ref="F26:L27"/>
    <mergeCell ref="A28:E29"/>
    <mergeCell ref="F28:L29"/>
    <mergeCell ref="A30:E31"/>
    <mergeCell ref="F30:L31"/>
    <mergeCell ref="A32:E33"/>
    <mergeCell ref="F32:L33"/>
    <mergeCell ref="A34:E37"/>
    <mergeCell ref="F34:L37"/>
    <mergeCell ref="A48:L48"/>
    <mergeCell ref="A38:E41"/>
    <mergeCell ref="F38:L41"/>
    <mergeCell ref="A44:C44"/>
    <mergeCell ref="D44:L44"/>
    <mergeCell ref="A46:L46"/>
  </mergeCells>
  <pageMargins left="0.78749999999999998" right="0.78749999999999998" top="0.88611111111111096" bottom="0.88611111111111096" header="0.78749999999999998" footer="0.78749999999999998"/>
  <pageSetup paperSize="9" orientation="portrait" useFirstPageNumber="1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41"/>
  <sheetViews>
    <sheetView zoomScale="90" zoomScaleNormal="90" workbookViewId="0">
      <selection sqref="A1:L3"/>
    </sheetView>
  </sheetViews>
  <sheetFormatPr defaultColWidth="11.5703125" defaultRowHeight="14.25"/>
  <cols>
    <col min="1" max="1" width="7.7109375" style="1" customWidth="1"/>
    <col min="2" max="2" width="9" style="1" customWidth="1"/>
    <col min="3" max="7" width="7.7109375" style="1" customWidth="1"/>
    <col min="8" max="10" width="5.140625" style="1" customWidth="1"/>
    <col min="11" max="11" width="7.7109375" style="1" customWidth="1"/>
    <col min="12" max="12" width="8.85546875" style="1" customWidth="1"/>
    <col min="13" max="64" width="11.5703125" style="1"/>
  </cols>
  <sheetData>
    <row r="1" spans="1:13">
      <c r="A1" s="25" t="str">
        <f>"MECHANICAL CLOCK"  &amp; CHAR(10) &amp; "CALIBRATION PROTOCOL" &amp; CHAR(10) &amp; " # " &amp; Data!B8</f>
        <v xml:space="preserve">MECHANICAL CLOCK
CALIBRATION PROTOCOL
 # 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</row>
    <row r="2" spans="1:13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</row>
    <row r="3" spans="1:1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spans="1:13">
      <c r="A4" s="17" t="s">
        <v>0</v>
      </c>
      <c r="B4" s="17"/>
      <c r="C4" s="17"/>
      <c r="D4" s="17"/>
      <c r="E4" s="17"/>
      <c r="F4" s="17">
        <f>Data!B9</f>
        <v>0</v>
      </c>
      <c r="G4" s="17"/>
      <c r="H4" s="17"/>
      <c r="I4" s="17"/>
      <c r="J4" s="17"/>
      <c r="K4" s="17"/>
      <c r="L4" s="17"/>
    </row>
    <row r="5" spans="1:13">
      <c r="A5" s="22" t="s">
        <v>43</v>
      </c>
      <c r="B5" s="22"/>
      <c r="C5" s="22"/>
      <c r="D5" s="22"/>
      <c r="E5" s="22"/>
      <c r="F5" s="26">
        <f>Data!B10</f>
        <v>0</v>
      </c>
      <c r="G5" s="17"/>
      <c r="H5" s="17"/>
      <c r="I5" s="17"/>
      <c r="J5" s="17"/>
      <c r="K5" s="17"/>
      <c r="L5" s="17"/>
    </row>
    <row r="6" spans="1:13">
      <c r="A6" s="17" t="s">
        <v>1</v>
      </c>
      <c r="B6" s="17"/>
      <c r="C6" s="17"/>
      <c r="D6" s="17"/>
      <c r="E6" s="17"/>
      <c r="F6" s="17">
        <f>Data!B11</f>
        <v>0</v>
      </c>
      <c r="G6" s="17"/>
      <c r="H6" s="17"/>
      <c r="I6" s="17"/>
      <c r="J6" s="17"/>
      <c r="K6" s="17"/>
      <c r="L6" s="17"/>
    </row>
    <row r="7" spans="1:13">
      <c r="A7" s="22" t="s">
        <v>2</v>
      </c>
      <c r="B7" s="22"/>
      <c r="C7" s="22"/>
      <c r="D7" s="22"/>
      <c r="E7" s="22"/>
      <c r="F7" s="23" t="s">
        <v>37</v>
      </c>
      <c r="G7" s="23"/>
      <c r="H7" s="23"/>
      <c r="I7" s="23"/>
      <c r="J7" s="23"/>
      <c r="K7" s="23"/>
      <c r="L7" s="23"/>
    </row>
    <row r="8" spans="1:13" ht="13.9" customHeight="1">
      <c r="A8" s="24" t="s">
        <v>44</v>
      </c>
      <c r="B8" s="24"/>
      <c r="C8" s="24"/>
      <c r="D8" s="24"/>
      <c r="E8" s="24"/>
      <c r="F8" s="17">
        <f>Data!B12</f>
        <v>0</v>
      </c>
      <c r="G8" s="17"/>
      <c r="H8" s="17"/>
      <c r="I8" s="17"/>
      <c r="J8" s="17"/>
      <c r="K8" s="17"/>
      <c r="L8" s="17"/>
      <c r="M8" s="2"/>
    </row>
    <row r="9" spans="1:13">
      <c r="A9" s="24"/>
      <c r="B9" s="24"/>
      <c r="C9" s="24"/>
      <c r="D9" s="24"/>
      <c r="E9" s="24"/>
      <c r="F9" s="17"/>
      <c r="G9" s="17"/>
      <c r="H9" s="17"/>
      <c r="I9" s="17"/>
      <c r="J9" s="17"/>
      <c r="K9" s="17"/>
      <c r="L9" s="17"/>
      <c r="M9" s="2"/>
    </row>
    <row r="10" spans="1:13" ht="13.9" customHeight="1">
      <c r="A10" s="20" t="s">
        <v>3</v>
      </c>
      <c r="B10" s="20"/>
      <c r="C10" s="20"/>
      <c r="D10" s="20"/>
      <c r="E10" s="20"/>
      <c r="F10" s="18" t="s">
        <v>20</v>
      </c>
      <c r="G10" s="18"/>
      <c r="H10" s="21" t="s">
        <v>27</v>
      </c>
      <c r="I10" s="21"/>
      <c r="J10" s="21"/>
      <c r="K10" s="21" t="s">
        <v>28</v>
      </c>
      <c r="L10" s="21"/>
    </row>
    <row r="11" spans="1:13">
      <c r="A11" s="20"/>
      <c r="B11" s="20"/>
      <c r="C11" s="20"/>
      <c r="D11" s="20"/>
      <c r="E11" s="20"/>
      <c r="F11" s="18"/>
      <c r="G11" s="18"/>
      <c r="H11" s="21"/>
      <c r="I11" s="21"/>
      <c r="J11" s="21"/>
      <c r="K11" s="21"/>
      <c r="L11" s="21"/>
    </row>
    <row r="12" spans="1:13">
      <c r="A12" s="17" t="s">
        <v>4</v>
      </c>
      <c r="B12" s="17"/>
      <c r="C12" s="17"/>
      <c r="D12" s="17"/>
      <c r="E12" s="17"/>
      <c r="F12" s="18" t="s">
        <v>21</v>
      </c>
      <c r="G12" s="18"/>
      <c r="H12" s="18">
        <f>Data!B15</f>
        <v>0</v>
      </c>
      <c r="I12" s="18"/>
      <c r="J12" s="18"/>
      <c r="K12" s="19">
        <f>Data!B16</f>
        <v>0</v>
      </c>
      <c r="L12" s="18"/>
    </row>
    <row r="13" spans="1:13">
      <c r="A13" s="17" t="s">
        <v>5</v>
      </c>
      <c r="B13" s="17"/>
      <c r="C13" s="17"/>
      <c r="D13" s="17"/>
      <c r="E13" s="17"/>
      <c r="F13" s="18" t="s">
        <v>22</v>
      </c>
      <c r="G13" s="18"/>
      <c r="H13" s="18">
        <f>Data!B17</f>
        <v>0</v>
      </c>
      <c r="I13" s="18"/>
      <c r="J13" s="18"/>
      <c r="K13" s="19">
        <f>Data!B18</f>
        <v>0</v>
      </c>
      <c r="L13" s="18"/>
    </row>
    <row r="14" spans="1:13">
      <c r="A14" s="17" t="s">
        <v>6</v>
      </c>
      <c r="B14" s="17"/>
      <c r="C14" s="17"/>
      <c r="D14" s="17"/>
      <c r="E14" s="17"/>
      <c r="F14" s="18" t="s">
        <v>23</v>
      </c>
      <c r="G14" s="18"/>
      <c r="H14" s="19">
        <f>Data!B19</f>
        <v>0</v>
      </c>
      <c r="I14" s="18"/>
      <c r="J14" s="18"/>
      <c r="K14" s="18">
        <f>Data!B20</f>
        <v>0</v>
      </c>
      <c r="L14" s="18"/>
    </row>
    <row r="15" spans="1:13">
      <c r="A15" s="17" t="s">
        <v>7</v>
      </c>
      <c r="B15" s="17"/>
      <c r="C15" s="17"/>
      <c r="D15" s="17"/>
      <c r="E15" s="17"/>
      <c r="F15" s="18" t="s">
        <v>24</v>
      </c>
      <c r="G15" s="18"/>
      <c r="H15" s="19">
        <f>Data!B21</f>
        <v>0</v>
      </c>
      <c r="I15" s="18"/>
      <c r="J15" s="18"/>
      <c r="K15" s="18">
        <f>Data!B22</f>
        <v>0</v>
      </c>
      <c r="L15" s="18"/>
    </row>
    <row r="16" spans="1:13">
      <c r="A16" s="17" t="s">
        <v>8</v>
      </c>
      <c r="B16" s="17"/>
      <c r="C16" s="17"/>
      <c r="D16" s="17"/>
      <c r="E16" s="17"/>
      <c r="F16" s="18" t="s">
        <v>25</v>
      </c>
      <c r="G16" s="18"/>
      <c r="H16" s="19">
        <f>Data!B23</f>
        <v>0</v>
      </c>
      <c r="I16" s="18"/>
      <c r="J16" s="18"/>
      <c r="K16" s="18">
        <f>Data!B24</f>
        <v>0</v>
      </c>
      <c r="L16" s="18"/>
    </row>
    <row r="17" spans="1:12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2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2">
      <c r="A19" s="12" t="s">
        <v>9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</row>
    <row r="20" spans="1:12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>
      <c r="A21" s="15" t="s">
        <v>10</v>
      </c>
      <c r="B21" s="15"/>
      <c r="C21" s="15"/>
      <c r="D21" s="16">
        <f>Data!B25</f>
        <v>0</v>
      </c>
      <c r="E21" s="16"/>
      <c r="F21" s="16"/>
      <c r="G21" s="16"/>
      <c r="H21" s="16"/>
      <c r="I21" s="16"/>
      <c r="J21" s="16"/>
      <c r="K21" s="16"/>
      <c r="L21" s="16"/>
    </row>
    <row r="22" spans="1:12">
      <c r="A22" s="30"/>
      <c r="B22" s="30"/>
      <c r="C22" s="30"/>
      <c r="D22" s="15"/>
      <c r="E22" s="15"/>
      <c r="F22" s="15"/>
      <c r="G22" s="15"/>
      <c r="H22" s="15"/>
      <c r="I22" s="15"/>
      <c r="J22" s="15"/>
      <c r="K22" s="15"/>
      <c r="L22" s="15"/>
    </row>
    <row r="23" spans="1:12">
      <c r="A23" s="15" t="s">
        <v>29</v>
      </c>
      <c r="B23" s="15"/>
      <c r="C23" s="15"/>
      <c r="D23" s="16">
        <f>Data!B26</f>
        <v>0</v>
      </c>
      <c r="E23" s="16"/>
      <c r="F23" s="16"/>
      <c r="G23" s="16"/>
      <c r="H23" s="16"/>
      <c r="I23" s="16"/>
      <c r="J23" s="16"/>
      <c r="K23" s="16"/>
      <c r="L23" s="16"/>
    </row>
    <row r="24" spans="1:12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>
      <c r="A25" s="12" t="s">
        <v>30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</row>
    <row r="26" spans="1:12">
      <c r="A26"/>
      <c r="B26"/>
      <c r="C26"/>
      <c r="D26"/>
      <c r="E26"/>
      <c r="F26"/>
      <c r="G26"/>
      <c r="H26"/>
      <c r="I26"/>
      <c r="J26"/>
      <c r="K26"/>
      <c r="L26"/>
    </row>
    <row r="27" spans="1:12">
      <c r="A27" s="29" t="s">
        <v>31</v>
      </c>
      <c r="B27" s="29"/>
      <c r="C27" s="29"/>
      <c r="D27" s="29"/>
      <c r="E27" s="29" t="s">
        <v>35</v>
      </c>
      <c r="F27" s="29"/>
      <c r="G27" s="29"/>
      <c r="H27" s="29"/>
      <c r="I27" s="29" t="s">
        <v>27</v>
      </c>
      <c r="J27" s="29"/>
      <c r="K27" s="29"/>
      <c r="L27" s="29"/>
    </row>
    <row r="28" spans="1:12" ht="13.9" customHeight="1">
      <c r="A28" s="27" t="s">
        <v>32</v>
      </c>
      <c r="B28" s="27"/>
      <c r="C28" s="27"/>
      <c r="D28" s="27"/>
      <c r="E28" s="25" t="s">
        <v>45</v>
      </c>
      <c r="F28" s="25"/>
      <c r="G28" s="25"/>
      <c r="H28" s="25"/>
      <c r="I28" s="25">
        <f>Data!B27</f>
        <v>0</v>
      </c>
      <c r="J28" s="25"/>
      <c r="K28" s="25"/>
      <c r="L28" s="25"/>
    </row>
    <row r="29" spans="1:12">
      <c r="A29" s="27"/>
      <c r="B29" s="27"/>
      <c r="C29" s="27"/>
      <c r="D29" s="27"/>
      <c r="E29" s="25"/>
      <c r="F29" s="25"/>
      <c r="G29" s="25"/>
      <c r="H29" s="25"/>
      <c r="I29" s="25"/>
      <c r="J29" s="25"/>
      <c r="K29" s="25"/>
      <c r="L29" s="25"/>
    </row>
    <row r="30" spans="1:12" ht="13.9" customHeight="1">
      <c r="A30" s="27" t="s">
        <v>33</v>
      </c>
      <c r="B30" s="27"/>
      <c r="C30" s="27"/>
      <c r="D30" s="27"/>
      <c r="E30" s="28" t="s">
        <v>36</v>
      </c>
      <c r="F30" s="28"/>
      <c r="G30" s="28"/>
      <c r="H30" s="28"/>
      <c r="I30" s="25"/>
      <c r="J30" s="25"/>
      <c r="K30" s="25"/>
      <c r="L30" s="25"/>
    </row>
    <row r="31" spans="1:12">
      <c r="A31" s="27"/>
      <c r="B31" s="27"/>
      <c r="C31" s="27"/>
      <c r="D31" s="27"/>
      <c r="E31" s="28"/>
      <c r="F31" s="28"/>
      <c r="G31" s="28"/>
      <c r="H31" s="28"/>
      <c r="I31" s="25"/>
      <c r="J31" s="25"/>
      <c r="K31" s="25"/>
      <c r="L31" s="25"/>
    </row>
    <row r="32" spans="1:12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spans="1:12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spans="1:12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spans="1:12">
      <c r="A35" s="6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spans="1:12">
      <c r="A36"/>
      <c r="B36"/>
      <c r="C36"/>
      <c r="D36"/>
      <c r="E36"/>
      <c r="F36"/>
      <c r="G36"/>
      <c r="H36"/>
      <c r="I36"/>
      <c r="J36"/>
      <c r="K36"/>
      <c r="L36"/>
    </row>
    <row r="37" spans="1:12">
      <c r="A37" s="15" t="s">
        <v>34</v>
      </c>
      <c r="B37" s="15"/>
      <c r="C37" s="15"/>
      <c r="D37" s="16" t="str">
        <f>IF(AND(I28 &gt;= 20, 1), "Accepted", "Reject")</f>
        <v>Reject</v>
      </c>
      <c r="E37" s="16"/>
      <c r="F37" s="16"/>
      <c r="G37" s="16"/>
      <c r="H37" s="16"/>
      <c r="I37" s="16"/>
      <c r="J37" s="16"/>
      <c r="K37" s="16"/>
      <c r="L37" s="16"/>
    </row>
    <row r="38" spans="1:12">
      <c r="A38"/>
      <c r="B38"/>
      <c r="C38"/>
      <c r="D38"/>
      <c r="E38"/>
      <c r="F38"/>
      <c r="G38"/>
      <c r="H38"/>
      <c r="I38"/>
      <c r="J38"/>
      <c r="K38"/>
      <c r="L38"/>
    </row>
    <row r="39" spans="1:12">
      <c r="A39" s="12" t="str">
        <f>"Calibration officer: " &amp; Data!B14</f>
        <v xml:space="preserve">Calibration officer: 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</row>
    <row r="41" spans="1:12">
      <c r="A41" s="12" t="e">
        <f>"Calibration date: " &amp; DAY(DATEVALUE(LEFT(Data!B2, 5) &amp; "-" &amp; MID(Data!B2, 7, 2) &amp; "-" &amp; MID(Data!B2, 10, 2))) &amp; "." &amp; MONTH(DATEVALUE(LEFT(Data!B2, 5) &amp; "-" &amp; MID(Data!B2, 7, 2) &amp; "-" &amp; MID(Data!B2, 10, 2)))  &amp; "." &amp; YEAR(DATEVALUE(LEFT(Data!B2, 5) &amp; "-" &amp; MID(Data!B2, 7, 2) &amp; "-" &amp; MID(Data!B2, 10, 2)))</f>
        <v>#VALUE!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</row>
  </sheetData>
  <mergeCells count="57">
    <mergeCell ref="A1:L3"/>
    <mergeCell ref="A4:E4"/>
    <mergeCell ref="F4:L4"/>
    <mergeCell ref="A5:E5"/>
    <mergeCell ref="F5:L5"/>
    <mergeCell ref="A6:E6"/>
    <mergeCell ref="F6:L6"/>
    <mergeCell ref="A7:E7"/>
    <mergeCell ref="F7:L7"/>
    <mergeCell ref="A8:E9"/>
    <mergeCell ref="F8:L8"/>
    <mergeCell ref="F9:L9"/>
    <mergeCell ref="A10:E11"/>
    <mergeCell ref="F10:G11"/>
    <mergeCell ref="H10:J11"/>
    <mergeCell ref="K10:L11"/>
    <mergeCell ref="A12:E12"/>
    <mergeCell ref="F12:G12"/>
    <mergeCell ref="H12:J12"/>
    <mergeCell ref="K12:L12"/>
    <mergeCell ref="A13:E13"/>
    <mergeCell ref="F13:G13"/>
    <mergeCell ref="H13:J13"/>
    <mergeCell ref="K13:L13"/>
    <mergeCell ref="A14:E14"/>
    <mergeCell ref="F14:G14"/>
    <mergeCell ref="H14:J14"/>
    <mergeCell ref="K14:L14"/>
    <mergeCell ref="A15:E15"/>
    <mergeCell ref="F15:G15"/>
    <mergeCell ref="H15:J15"/>
    <mergeCell ref="K15:L15"/>
    <mergeCell ref="A16:E16"/>
    <mergeCell ref="F16:G16"/>
    <mergeCell ref="H16:J16"/>
    <mergeCell ref="K16:L16"/>
    <mergeCell ref="A19:L19"/>
    <mergeCell ref="A21:C21"/>
    <mergeCell ref="D21:L21"/>
    <mergeCell ref="A22:C22"/>
    <mergeCell ref="D22:L22"/>
    <mergeCell ref="A23:C23"/>
    <mergeCell ref="D23:L23"/>
    <mergeCell ref="A25:L25"/>
    <mergeCell ref="A27:D27"/>
    <mergeCell ref="E27:H27"/>
    <mergeCell ref="I27:L27"/>
    <mergeCell ref="A37:C37"/>
    <mergeCell ref="D37:L37"/>
    <mergeCell ref="A39:L39"/>
    <mergeCell ref="A41:L41"/>
    <mergeCell ref="A28:D29"/>
    <mergeCell ref="E28:H29"/>
    <mergeCell ref="I28:L29"/>
    <mergeCell ref="A30:D31"/>
    <mergeCell ref="E30:H31"/>
    <mergeCell ref="I30:L31"/>
  </mergeCells>
  <pageMargins left="0.78749999999999998" right="0.78749999999999998" top="0.88611111111111096" bottom="0.88611111111111096" header="0.78749999999999998" footer="0.78749999999999998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23"/>
  <sheetViews>
    <sheetView tabSelected="1" zoomScale="90" zoomScaleNormal="90" workbookViewId="0">
      <selection activeCell="B13" sqref="B13"/>
    </sheetView>
  </sheetViews>
  <sheetFormatPr defaultColWidth="25.5703125" defaultRowHeight="15.75"/>
  <cols>
    <col min="1" max="1" width="26.42578125" style="7" customWidth="1"/>
    <col min="2" max="64" width="25.5703125" style="8"/>
    <col min="65" max="16384" width="25.5703125" style="10"/>
  </cols>
  <sheetData>
    <row r="1" spans="1:64" s="11" customFormat="1">
      <c r="A1" s="7" t="s">
        <v>46</v>
      </c>
      <c r="B1" s="9" t="s">
        <v>42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  <c r="BI1" s="8"/>
      <c r="BJ1" s="8"/>
      <c r="BK1" s="8"/>
      <c r="BL1" s="8"/>
    </row>
    <row r="2" spans="1:64" s="11" customFormat="1">
      <c r="A2" s="7" t="s">
        <v>38</v>
      </c>
      <c r="B2" s="9" t="s">
        <v>42</v>
      </c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</row>
    <row r="3" spans="1:64" s="11" customFormat="1">
      <c r="A3" s="7" t="s">
        <v>39</v>
      </c>
      <c r="B3" s="9" t="s">
        <v>42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</row>
    <row r="4" spans="1:64" s="11" customFormat="1">
      <c r="A4" s="7" t="s">
        <v>40</v>
      </c>
      <c r="B4" s="9" t="s">
        <v>42</v>
      </c>
      <c r="C4" s="9"/>
      <c r="D4" s="9"/>
      <c r="E4" s="9"/>
      <c r="F4" s="9"/>
      <c r="G4" s="9"/>
      <c r="H4" s="9"/>
      <c r="I4" s="9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</row>
    <row r="5" spans="1:64" s="11" customFormat="1">
      <c r="A5" s="7" t="s">
        <v>41</v>
      </c>
      <c r="B5" s="8">
        <v>0</v>
      </c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</row>
    <row r="8" spans="1:64">
      <c r="B8" s="9"/>
    </row>
    <row r="10" spans="1:64">
      <c r="B10" s="9"/>
    </row>
    <row r="16" spans="1:64">
      <c r="B16" s="9"/>
    </row>
    <row r="18" spans="2:2">
      <c r="B18" s="9"/>
    </row>
    <row r="19" spans="2:2">
      <c r="B19" s="9"/>
    </row>
    <row r="21" spans="2:2">
      <c r="B21" s="9"/>
    </row>
    <row r="23" spans="2:2">
      <c r="B23" s="9"/>
    </row>
  </sheetData>
  <pageMargins left="0.78749999999999998" right="0.78749999999999998" top="0.88611111111111096" bottom="0.88611111111111096" header="0.78749999999999998" footer="0.78749999999999998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Mechanical clock</vt:lpstr>
      <vt:lpstr>ACHS-watch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503</cp:lastModifiedBy>
  <dcterms:modified xsi:type="dcterms:W3CDTF">2021-04-09T06:35:44Z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2017-10-20T23:41:04Z</dcterms:created>
  <dc:creator/>
  <dc:description/>
  <dc:language>ru-RU</dc:language>
  <cp:lastModifiedBy/>
  <dcterms:modified xsi:type="dcterms:W3CDTF">2019-07-03T17:25:17Z</dcterms:modified>
  <cp:revision>64</cp:revision>
  <dc:subject/>
  <dc:title/>
</cp:coreProperties>
</file>