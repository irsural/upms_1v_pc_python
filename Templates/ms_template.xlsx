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ГОСТ 8.423-81" sheetId="1" state="visible" r:id="rId2"/>
    <sheet name="ГОСТ 8.423-81 (2)" sheetId="2" state="visible" r:id="rId3"/>
    <sheet name="Данные" sheetId="3" state="visible" r:id="rId4"/>
    <sheet name="Фото" sheetId="4" state="visible" r:id="rId5"/>
    <sheet name="Справка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<sst xmlns="http://schemas.openxmlformats.org/spreadsheetml/2006/main" count="80" uniqueCount="46">
  <si>
    <t xml:space="preserve">Наименование, тип:</t>
  </si>
  <si>
    <t xml:space="preserve">Заводской номер:</t>
  </si>
  <si>
    <t xml:space="preserve">Принадлежность:</t>
  </si>
  <si>
    <t xml:space="preserve">НТД по поверке:</t>
  </si>
  <si>
    <t xml:space="preserve">ГОСТ 8.423-81</t>
  </si>
  <si>
    <t xml:space="preserve">Применяемые эталоны:
(средства измерений)</t>
  </si>
  <si>
    <t xml:space="preserve">Условия поверки:</t>
  </si>
  <si>
    <t xml:space="preserve">Допуск</t>
  </si>
  <si>
    <t xml:space="preserve">Измеренное значение</t>
  </si>
  <si>
    <t xml:space="preserve">Средство контроля</t>
  </si>
  <si>
    <t xml:space="preserve">температура,°C </t>
  </si>
  <si>
    <t xml:space="preserve">15...25</t>
  </si>
  <si>
    <t xml:space="preserve">влажность, %</t>
  </si>
  <si>
    <t xml:space="preserve">50...80</t>
  </si>
  <si>
    <t xml:space="preserve">давление, мм рт.ст.</t>
  </si>
  <si>
    <t xml:space="preserve">630...795</t>
  </si>
  <si>
    <t xml:space="preserve">напряжение сети питания, В</t>
  </si>
  <si>
    <t xml:space="preserve">198,0...242,0</t>
  </si>
  <si>
    <t xml:space="preserve">частота сети питания, Гц</t>
  </si>
  <si>
    <t xml:space="preserve">49,0...51,0</t>
  </si>
  <si>
    <t xml:space="preserve">Операции поверки:</t>
  </si>
  <si>
    <t xml:space="preserve">1. Внешний осмотр:</t>
  </si>
  <si>
    <t xml:space="preserve">2. Опробование:</t>
  </si>
  <si>
    <t xml:space="preserve">3. Определение метрологических характеристик</t>
  </si>
  <si>
    <t xml:space="preserve">
№ измерений</t>
  </si>
  <si>
    <t xml:space="preserve">Циферблатом вверх</t>
  </si>
  <si>
    <t xml:space="preserve">Погрешность измерений при интервалах времени 3 мин, 30 или 60 с.</t>
  </si>
  <si>
    <t xml:space="preserve">Погрешность измерений при интервалах времени 30 или 60 мин</t>
  </si>
  <si>
    <r>
      <rPr>
        <sz val="11"/>
        <rFont val="Arial"/>
        <family val="0"/>
        <charset val="204"/>
      </rPr>
      <t xml:space="preserve">τ</t>
    </r>
    <r>
      <rPr>
        <vertAlign val="subscript"/>
        <sz val="11"/>
        <rFont val="Arial"/>
        <family val="0"/>
        <charset val="204"/>
      </rPr>
      <t xml:space="preserve">д</t>
    </r>
    <r>
      <rPr>
        <sz val="11"/>
        <rFont val="Arial"/>
        <family val="0"/>
        <charset val="204"/>
      </rPr>
      <t xml:space="preserve">, с</t>
    </r>
  </si>
  <si>
    <r>
      <rPr>
        <sz val="11"/>
        <rFont val="Arial"/>
        <family val="2"/>
        <charset val="204"/>
      </rPr>
      <t xml:space="preserve">Δ</t>
    </r>
    <r>
      <rPr>
        <vertAlign val="subscript"/>
        <sz val="11"/>
        <rFont val="Arial"/>
        <family val="2"/>
        <charset val="204"/>
      </rPr>
      <t xml:space="preserve">t</t>
    </r>
    <r>
      <rPr>
        <sz val="11"/>
        <rFont val="Arial"/>
        <family val="2"/>
        <charset val="204"/>
      </rPr>
      <t xml:space="preserve">, с</t>
    </r>
  </si>
  <si>
    <r>
      <rPr>
        <sz val="11"/>
        <rFont val="Arial"/>
        <family val="2"/>
        <charset val="204"/>
      </rPr>
      <t xml:space="preserve">Δ</t>
    </r>
    <r>
      <rPr>
        <vertAlign val="subscript"/>
        <sz val="11"/>
        <rFont val="Arial"/>
        <family val="2"/>
        <charset val="204"/>
      </rPr>
      <t xml:space="preserve">tmax</t>
    </r>
    <r>
      <rPr>
        <sz val="11"/>
        <rFont val="Arial"/>
        <family val="2"/>
        <charset val="204"/>
      </rPr>
      <t xml:space="preserve">, с</t>
    </r>
  </si>
  <si>
    <r>
      <rPr>
        <sz val="11"/>
        <rFont val="Arial"/>
        <family val="0"/>
        <charset val="204"/>
      </rPr>
      <t xml:space="preserve">τ</t>
    </r>
    <r>
      <rPr>
        <vertAlign val="subscript"/>
        <sz val="11"/>
        <rFont val="Arial"/>
        <family val="0"/>
        <charset val="204"/>
      </rPr>
      <t xml:space="preserve">д</t>
    </r>
    <r>
      <rPr>
        <sz val="11"/>
        <rFont val="Arial"/>
        <family val="0"/>
        <charset val="204"/>
      </rPr>
      <t xml:space="preserve">,  мин, с</t>
    </r>
  </si>
  <si>
    <r>
      <rPr>
        <sz val="11"/>
        <rFont val="Arial"/>
        <family val="2"/>
        <charset val="204"/>
      </rPr>
      <t xml:space="preserve">Δ</t>
    </r>
    <r>
      <rPr>
        <vertAlign val="subscript"/>
        <sz val="11"/>
        <rFont val="Arial"/>
        <family val="0"/>
        <charset val="204"/>
      </rPr>
      <t xml:space="preserve">ср</t>
    </r>
    <r>
      <rPr>
        <sz val="11"/>
        <rFont val="Arial"/>
        <family val="0"/>
        <charset val="204"/>
      </rPr>
      <t xml:space="preserve">, с</t>
    </r>
  </si>
  <si>
    <t xml:space="preserve">Е, с</t>
  </si>
  <si>
    <t xml:space="preserve">Кнопкой управления вверх</t>
  </si>
  <si>
    <t xml:space="preserve">Результаты поверки:</t>
  </si>
  <si>
    <t xml:space="preserve">Брак/Годен</t>
  </si>
  <si>
    <t xml:space="preserve">ПРОТОКОЛ ПОВЕРКИ СЕКУНДОМЕРА</t>
  </si>
  <si>
    <t xml:space="preserve">Номер измерения</t>
  </si>
  <si>
    <t xml:space="preserve">0</t>
  </si>
  <si>
    <t xml:space="preserve">Дата</t>
  </si>
  <si>
    <t xml:space="preserve">Интервал измерения</t>
  </si>
  <si>
    <t xml:space="preserve">Результат</t>
  </si>
  <si>
    <t xml:space="preserve">Комментарий</t>
  </si>
  <si>
    <t xml:space="preserve">Положение секундомера</t>
  </si>
  <si>
    <t xml:space="preserve">Для корректной вставки результатов измерений в поля отчета необходимо проводить измерения в следующем порядке:
1. Короткий интервал, измерение 1 (горизонтально)
2. Длинный интервал, измерение 1 (горизонтально)
3. Короткий интервал, измерение 1 (вертикально)
4. Длинный интервал, измерение 1 (вертикально)
5. Короткий интервал, измерение 2 (горизонтально)
6. Длинный интервал, измерение 2 (горизонтально)
7. Короткий интервал, измерение 2 (вертикально)
8. Длинный интервал, измерение 2 (вертикально)
9. Короткий интервал, измерение 3 (горизонтально)
10. Длинный интервал, измерение 3 (горизонтально)
11. Короткий интервал, измерение 3 (вертикально)
12. Длинный интервал, измерение 3 (вертикально)
Для автоматической генерации данной последовательности измерений в установке необходимо выставить следующие параметры:
Интервал №1: короткий интервал
Интервал №2: длинный интервал
Автоматический режим: Вкл
Поверять горизонтально: Вкл
Поверять вертикально: Вкл
Кол-во повтор. в авто реж.: 3
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</si>
</sst>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ИСТИНА&quot;;&quot;ИСТИНА&quot;;&quot;ЛОЖЬ&quot;"/>
    <numFmt numFmtId="167" formatCode="@"/>
  </numFmts>
  <fonts count="1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Mangal"/>
      <family val="2"/>
      <charset val="204"/>
    </font>
    <font>
      <sz val="11"/>
      <name val="Arial"/>
      <family val="2"/>
      <charset val="204"/>
    </font>
    <font>
      <i val="true"/>
      <sz val="11"/>
      <name val="Arial"/>
      <family val="2"/>
      <charset val="204"/>
    </font>
    <font>
      <sz val="11"/>
      <name val="Arial"/>
      <family val="0"/>
      <charset val="204"/>
    </font>
    <font>
      <vertAlign val="subscript"/>
      <sz val="11"/>
      <name val="Arial"/>
      <family val="0"/>
      <charset val="204"/>
    </font>
    <font>
      <vertAlign val="subscript"/>
      <sz val="11"/>
      <name val="Arial"/>
      <family val="2"/>
      <charset val="204"/>
    </font>
    <font>
      <b val="true"/>
      <sz val="11"/>
      <name val="Arial"/>
      <family val="2"/>
      <charset val="204"/>
    </font>
    <font>
      <b val="true"/>
      <sz val="12"/>
      <name val="Arial"/>
      <family val="2"/>
      <charset val="204"/>
    </font>
    <font>
      <sz val="12"/>
      <name val="Arial"/>
      <family val="2"/>
      <charset val="204"/>
    </font>
    <font>
      <sz val="20"/>
      <name val="Arial"/>
      <family val="2"/>
      <charset val="204"/>
    </font>
    <font>
      <sz val="1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оловок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1" activeCellId="0" sqref="G4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7.65"/>
    <col collapsed="false" customWidth="true" hidden="false" outlineLevel="0" max="2" min="2" style="1" width="8.98"/>
    <col collapsed="false" customWidth="true" hidden="false" outlineLevel="0" max="7" min="3" style="1" width="7.65"/>
    <col collapsed="false" customWidth="true" hidden="false" outlineLevel="0" max="10" min="8" style="1" width="5.1"/>
    <col collapsed="false" customWidth="true" hidden="false" outlineLevel="0" max="11" min="11" style="1" width="7.65"/>
    <col collapsed="false" customWidth="true" hidden="false" outlineLevel="0" max="12" min="12" style="1" width="8.89"/>
    <col collapsed="false" customWidth="false" hidden="false" outlineLevel="0" max="64" min="13" style="1" width="11.52"/>
  </cols>
  <sheetData>
    <row r="1" customFormat="false" ht="13.8" hidden="false" customHeight="false" outlineLevel="0" collapsed="false">
      <c r="A1" s="2" t="str">
        <f aca="false">"ПРОТОКОЛ ПОВЕРКИ"  &amp; CHAR(10) &amp; "СЕКУНДОМЕРА МЕХАНИЧЕСКОГО" &amp; CHAR(10) &amp; "№ " &amp; Данные!B8</f>
        <v>ПРОТОКОЛ ПОВЕРКИ
СЕКУНДОМЕРА МЕХАНИЧЕСКОГО
№ 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3.8" hidden="false" customHeight="false" outlineLevel="0" collapsed="false">
      <c r="A4" s="3" t="s">
        <v>0</v>
      </c>
      <c r="B4" s="3"/>
      <c r="C4" s="3"/>
      <c r="D4" s="3"/>
      <c r="E4" s="3"/>
      <c r="F4" s="4" t="n">
        <f aca="false">Данные!B9</f>
        <v>0</v>
      </c>
      <c r="G4" s="4"/>
      <c r="H4" s="4"/>
      <c r="I4" s="4"/>
      <c r="J4" s="4"/>
      <c r="K4" s="4"/>
      <c r="L4" s="4"/>
    </row>
    <row r="5" customFormat="false" ht="13.8" hidden="false" customHeight="false" outlineLevel="0" collapsed="false">
      <c r="A5" s="5" t="s">
        <v>1</v>
      </c>
      <c r="B5" s="5"/>
      <c r="C5" s="5"/>
      <c r="D5" s="5"/>
      <c r="E5" s="5"/>
      <c r="F5" s="4" t="n">
        <f aca="false">Данные!B10</f>
        <v>0</v>
      </c>
      <c r="G5" s="4"/>
      <c r="H5" s="4"/>
      <c r="I5" s="4"/>
      <c r="J5" s="4"/>
      <c r="K5" s="4"/>
      <c r="L5" s="4"/>
    </row>
    <row r="6" customFormat="false" ht="13.8" hidden="false" customHeight="false" outlineLevel="0" collapsed="false">
      <c r="A6" s="3" t="s">
        <v>2</v>
      </c>
      <c r="B6" s="3"/>
      <c r="C6" s="3"/>
      <c r="D6" s="3"/>
      <c r="E6" s="3"/>
      <c r="F6" s="4" t="n">
        <f aca="false">Данные!B11</f>
        <v>0</v>
      </c>
      <c r="G6" s="4"/>
      <c r="H6" s="4"/>
      <c r="I6" s="4"/>
      <c r="J6" s="4"/>
      <c r="K6" s="4"/>
      <c r="L6" s="4"/>
    </row>
    <row r="7" customFormat="false" ht="13.8" hidden="false" customHeight="false" outlineLevel="0" collapsed="false">
      <c r="A7" s="5" t="s">
        <v>3</v>
      </c>
      <c r="B7" s="5"/>
      <c r="C7" s="5"/>
      <c r="D7" s="5"/>
      <c r="E7" s="5"/>
      <c r="F7" s="6" t="s">
        <v>4</v>
      </c>
      <c r="G7" s="6"/>
      <c r="H7" s="6"/>
      <c r="I7" s="6"/>
      <c r="J7" s="6"/>
      <c r="K7" s="6"/>
      <c r="L7" s="6"/>
    </row>
    <row r="8" customFormat="false" ht="13.8" hidden="false" customHeight="true" outlineLevel="0" collapsed="false">
      <c r="A8" s="7" t="s">
        <v>5</v>
      </c>
      <c r="B8" s="7"/>
      <c r="C8" s="7"/>
      <c r="D8" s="7"/>
      <c r="E8" s="7"/>
      <c r="F8" s="4" t="n">
        <f aca="false">Данные!B12</f>
        <v>0</v>
      </c>
      <c r="G8" s="4"/>
      <c r="H8" s="4"/>
      <c r="I8" s="4"/>
      <c r="J8" s="4"/>
      <c r="K8" s="4"/>
      <c r="L8" s="4"/>
      <c r="M8" s="8"/>
    </row>
    <row r="9" customFormat="false" ht="13.8" hidden="false" customHeight="false" outlineLevel="0" collapsed="false">
      <c r="A9" s="7"/>
      <c r="B9" s="7"/>
      <c r="C9" s="7"/>
      <c r="D9" s="7"/>
      <c r="E9" s="7"/>
      <c r="F9" s="4"/>
      <c r="G9" s="4"/>
      <c r="H9" s="4"/>
      <c r="I9" s="4"/>
      <c r="J9" s="4"/>
      <c r="K9" s="4"/>
      <c r="L9" s="4"/>
      <c r="M9" s="8"/>
    </row>
    <row r="10" customFormat="false" ht="13.8" hidden="false" customHeight="true" outlineLevel="0" collapsed="false">
      <c r="A10" s="9" t="s">
        <v>6</v>
      </c>
      <c r="B10" s="9"/>
      <c r="C10" s="9"/>
      <c r="D10" s="9"/>
      <c r="E10" s="9"/>
      <c r="F10" s="10" t="s">
        <v>7</v>
      </c>
      <c r="G10" s="10"/>
      <c r="H10" s="11" t="s">
        <v>8</v>
      </c>
      <c r="I10" s="11"/>
      <c r="J10" s="11"/>
      <c r="K10" s="11" t="s">
        <v>9</v>
      </c>
      <c r="L10" s="11"/>
    </row>
    <row r="11" customFormat="false" ht="13.8" hidden="false" customHeight="false" outlineLevel="0" collapsed="false">
      <c r="A11" s="9"/>
      <c r="B11" s="9"/>
      <c r="C11" s="9"/>
      <c r="D11" s="9"/>
      <c r="E11" s="9"/>
      <c r="F11" s="10"/>
      <c r="G11" s="10"/>
      <c r="H11" s="11"/>
      <c r="I11" s="11"/>
      <c r="J11" s="11"/>
      <c r="K11" s="11"/>
      <c r="L11" s="11"/>
    </row>
    <row r="12" customFormat="false" ht="13.8" hidden="false" customHeight="false" outlineLevel="0" collapsed="false">
      <c r="A12" s="3" t="s">
        <v>10</v>
      </c>
      <c r="B12" s="3"/>
      <c r="C12" s="3"/>
      <c r="D12" s="3"/>
      <c r="E12" s="3"/>
      <c r="F12" s="10" t="s">
        <v>11</v>
      </c>
      <c r="G12" s="10"/>
      <c r="H12" s="12" t="n">
        <f aca="false">Данные!B15</f>
        <v>0</v>
      </c>
      <c r="I12" s="12"/>
      <c r="J12" s="12"/>
      <c r="K12" s="10" t="n">
        <f aca="false">Данные!B16</f>
        <v>0</v>
      </c>
      <c r="L12" s="10"/>
    </row>
    <row r="13" customFormat="false" ht="13.8" hidden="false" customHeight="false" outlineLevel="0" collapsed="false">
      <c r="A13" s="3" t="s">
        <v>12</v>
      </c>
      <c r="B13" s="3"/>
      <c r="C13" s="3"/>
      <c r="D13" s="3"/>
      <c r="E13" s="3"/>
      <c r="F13" s="10" t="s">
        <v>13</v>
      </c>
      <c r="G13" s="10"/>
      <c r="H13" s="12" t="n">
        <f aca="false">Данные!B17</f>
        <v>0</v>
      </c>
      <c r="I13" s="12"/>
      <c r="J13" s="12"/>
      <c r="K13" s="10" t="n">
        <f aca="false">Данные!B18</f>
        <v>0</v>
      </c>
      <c r="L13" s="10"/>
    </row>
    <row r="14" customFormat="false" ht="13.8" hidden="false" customHeight="false" outlineLevel="0" collapsed="false">
      <c r="A14" s="3" t="s">
        <v>14</v>
      </c>
      <c r="B14" s="3"/>
      <c r="C14" s="3"/>
      <c r="D14" s="3"/>
      <c r="E14" s="3"/>
      <c r="F14" s="10" t="s">
        <v>15</v>
      </c>
      <c r="G14" s="10"/>
      <c r="H14" s="12" t="n">
        <f aca="false">Данные!B19</f>
        <v>0</v>
      </c>
      <c r="I14" s="12"/>
      <c r="J14" s="12"/>
      <c r="K14" s="10" t="n">
        <f aca="false">Данные!B20</f>
        <v>0</v>
      </c>
      <c r="L14" s="10"/>
    </row>
    <row r="15" customFormat="false" ht="13.8" hidden="false" customHeight="false" outlineLevel="0" collapsed="false">
      <c r="A15" s="3" t="s">
        <v>16</v>
      </c>
      <c r="B15" s="3"/>
      <c r="C15" s="3"/>
      <c r="D15" s="3"/>
      <c r="E15" s="3"/>
      <c r="F15" s="10" t="s">
        <v>17</v>
      </c>
      <c r="G15" s="10"/>
      <c r="H15" s="12" t="n">
        <f aca="false">Данные!B21</f>
        <v>0</v>
      </c>
      <c r="I15" s="12"/>
      <c r="J15" s="12"/>
      <c r="K15" s="10" t="n">
        <f aca="false">Данные!B22</f>
        <v>0</v>
      </c>
      <c r="L15" s="10"/>
    </row>
    <row r="16" customFormat="false" ht="13.8" hidden="false" customHeight="false" outlineLevel="0" collapsed="false">
      <c r="A16" s="3" t="s">
        <v>18</v>
      </c>
      <c r="B16" s="3"/>
      <c r="C16" s="3"/>
      <c r="D16" s="3"/>
      <c r="E16" s="3"/>
      <c r="F16" s="10" t="s">
        <v>19</v>
      </c>
      <c r="G16" s="10"/>
      <c r="H16" s="12" t="n">
        <f aca="false">Данные!B23</f>
        <v>0</v>
      </c>
      <c r="I16" s="12"/>
      <c r="J16" s="12"/>
      <c r="K16" s="10" t="n">
        <f aca="false">Данные!B24</f>
        <v>0</v>
      </c>
      <c r="L16" s="10"/>
    </row>
    <row r="17" customFormat="false" ht="13.8" hidden="false" customHeight="fals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3.8" hidden="false" customHeight="false" outlineLevel="0" collapsed="false">
      <c r="A18" s="13" t="s">
        <v>20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customFormat="false" ht="13.8" hidden="false" customHeight="false" outlineLevel="0" collapsed="false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3.8" hidden="false" customHeight="false" outlineLevel="0" collapsed="false">
      <c r="A20" s="15" t="s">
        <v>21</v>
      </c>
      <c r="B20" s="15"/>
      <c r="C20" s="15"/>
      <c r="D20" s="16" t="n">
        <f aca="false">Данные!B25</f>
        <v>0</v>
      </c>
      <c r="E20" s="16"/>
      <c r="F20" s="16"/>
      <c r="G20" s="16"/>
      <c r="H20" s="16"/>
      <c r="I20" s="16"/>
      <c r="J20" s="16"/>
      <c r="K20" s="16"/>
      <c r="L20" s="16"/>
    </row>
    <row r="21" customFormat="false" ht="13.8" hidden="false" customHeight="false" outlineLevel="0" collapsed="false">
      <c r="A21" s="17"/>
      <c r="B21" s="17"/>
      <c r="C21" s="17"/>
      <c r="D21" s="15"/>
      <c r="E21" s="15"/>
      <c r="F21" s="15"/>
      <c r="G21" s="15"/>
      <c r="H21" s="15"/>
      <c r="I21" s="15"/>
      <c r="J21" s="15"/>
      <c r="K21" s="15"/>
      <c r="L21" s="15"/>
    </row>
    <row r="22" customFormat="false" ht="13.8" hidden="false" customHeight="false" outlineLevel="0" collapsed="false">
      <c r="A22" s="15" t="s">
        <v>22</v>
      </c>
      <c r="B22" s="15"/>
      <c r="C22" s="15"/>
      <c r="D22" s="16" t="n">
        <f aca="false">Данные!B26</f>
        <v>0</v>
      </c>
      <c r="E22" s="16"/>
      <c r="F22" s="16"/>
      <c r="G22" s="16"/>
      <c r="H22" s="16"/>
      <c r="I22" s="16"/>
      <c r="J22" s="16"/>
      <c r="K22" s="16"/>
      <c r="L22" s="16"/>
    </row>
    <row r="23" customFormat="false" ht="13.8" hidden="false" customHeight="false" outlineLevel="0" collapsed="false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13.8" hidden="false" customHeight="false" outlineLevel="0" collapsed="false">
      <c r="A24" s="13" t="s">
        <v>23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customFormat="false" ht="13.8" hidden="false" customHeight="false" outlineLevel="0" collapsed="false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customFormat="false" ht="13.8" hidden="false" customHeight="true" outlineLevel="0" collapsed="false">
      <c r="A26" s="18" t="s">
        <v>24</v>
      </c>
      <c r="B26" s="10" t="s">
        <v>25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3.8" hidden="false" customHeight="true" outlineLevel="0" collapsed="false">
      <c r="A27" s="18"/>
      <c r="B27" s="19" t="s">
        <v>26</v>
      </c>
      <c r="C27" s="19"/>
      <c r="D27" s="19"/>
      <c r="E27" s="19"/>
      <c r="F27" s="19"/>
      <c r="G27" s="19" t="s">
        <v>27</v>
      </c>
      <c r="H27" s="19"/>
      <c r="I27" s="19"/>
      <c r="J27" s="19"/>
      <c r="K27" s="19"/>
      <c r="L27" s="19"/>
      <c r="P27" s="20"/>
    </row>
    <row r="28" customFormat="false" ht="13.8" hidden="false" customHeight="false" outlineLevel="0" collapsed="false">
      <c r="A28" s="18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customFormat="false" ht="13.8" hidden="false" customHeight="false" outlineLevel="0" collapsed="false">
      <c r="A29" s="18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P29" s="20"/>
      <c r="Q29" s="20"/>
      <c r="R29" s="20"/>
    </row>
    <row r="30" customFormat="false" ht="17.15" hidden="false" customHeight="true" outlineLevel="0" collapsed="false">
      <c r="A30" s="18"/>
      <c r="B30" s="21" t="s">
        <v>28</v>
      </c>
      <c r="C30" s="10" t="s">
        <v>29</v>
      </c>
      <c r="D30" s="10"/>
      <c r="E30" s="10"/>
      <c r="F30" s="10" t="s">
        <v>30</v>
      </c>
      <c r="G30" s="22" t="s">
        <v>31</v>
      </c>
      <c r="H30" s="10" t="s">
        <v>29</v>
      </c>
      <c r="I30" s="10"/>
      <c r="J30" s="10"/>
      <c r="K30" s="23" t="s">
        <v>32</v>
      </c>
      <c r="L30" s="10" t="s">
        <v>33</v>
      </c>
      <c r="N30" s="8"/>
    </row>
    <row r="31" customFormat="false" ht="17" hidden="false" customHeight="true" outlineLevel="0" collapsed="false">
      <c r="A31" s="18"/>
      <c r="B31" s="18"/>
      <c r="C31" s="10" t="n">
        <v>1</v>
      </c>
      <c r="D31" s="10" t="n">
        <v>2</v>
      </c>
      <c r="E31" s="10" t="n">
        <v>3</v>
      </c>
      <c r="F31" s="10"/>
      <c r="G31" s="10"/>
      <c r="H31" s="10" t="n">
        <v>1</v>
      </c>
      <c r="I31" s="10" t="n">
        <v>2</v>
      </c>
      <c r="J31" s="10" t="n">
        <v>3</v>
      </c>
      <c r="K31" s="23"/>
      <c r="L31" s="23"/>
      <c r="S31" s="20"/>
    </row>
    <row r="32" customFormat="false" ht="17" hidden="false" customHeight="true" outlineLevel="0" collapsed="false">
      <c r="A32" s="18"/>
      <c r="B32" s="10" t="str">
        <f aca="false">Данные!B3</f>
        <v>0</v>
      </c>
      <c r="C32" s="10" t="n">
        <f aca="false">Данные!B4-B32</f>
        <v>0</v>
      </c>
      <c r="D32" s="10" t="n">
        <f aca="false">Данные!F4-B32</f>
        <v>0</v>
      </c>
      <c r="E32" s="10" t="n">
        <f aca="false">Данные!J4-B32</f>
        <v>0</v>
      </c>
      <c r="F32" s="10" t="n">
        <f aca="false">MAX(C32:E32)</f>
        <v>0</v>
      </c>
      <c r="G32" s="24" t="n">
        <f aca="false">IF(VALUE(Данные!C3)&lt;&gt;180, VALUE(Данные!C3), "")</f>
        <v>0</v>
      </c>
      <c r="H32" s="24" t="n">
        <f aca="false">IF(ISNUMBER(G32), Данные!C4 - G32, "")</f>
        <v>0</v>
      </c>
      <c r="I32" s="24" t="n">
        <f aca="false">IF(ISNUMBER(G32), Данные!G4 - G32, "")</f>
        <v>0</v>
      </c>
      <c r="J32" s="24" t="n">
        <f aca="false">IF(ISNUMBER(G32), Данные!K4 - G32, "")</f>
        <v>0</v>
      </c>
      <c r="K32" s="24" t="n">
        <f aca="false">IF(ISNUMBER(G32), SUM(H32:J32)/3, "")</f>
        <v>0</v>
      </c>
      <c r="L32" s="25" t="str">
        <f aca="false">IF(ISNUMBER(G32), TEXT(ABS(H32-K32), "0,0000") &amp; ", " &amp; TEXT(ABS(I32-K32), "0,0000") &amp; ", " &amp; TEXT(ABS(J32-K32), "0,0000"), "")</f>
        <v>0,0000, 0,0000, 0,0000</v>
      </c>
    </row>
    <row r="33" customFormat="false" ht="17" hidden="false" customHeight="true" outlineLevel="0" collapsed="false">
      <c r="A33" s="18"/>
      <c r="B33" s="24" t="str">
        <f aca="false">IF(VALUE(Данные!C3)=180, VALUE(Данные!C3), "")</f>
        <v/>
      </c>
      <c r="C33" s="10" t="str">
        <f aca="false">IF(ISNUMBER(B33), Данные!C4 - B33, "")</f>
        <v/>
      </c>
      <c r="D33" s="24" t="str">
        <f aca="false">IF(ISNUMBER(B33), Данные!G4 - B33, "")</f>
        <v/>
      </c>
      <c r="E33" s="24" t="str">
        <f aca="false">IF(ISNUMBER(B33), Данные!K4 - B33, "")</f>
        <v/>
      </c>
      <c r="F33" s="24" t="str">
        <f aca="false">IF(ISNUMBER(B33), MAX(C33:E33), "")</f>
        <v/>
      </c>
      <c r="G33" s="10"/>
      <c r="H33" s="10"/>
      <c r="I33" s="10"/>
      <c r="J33" s="10"/>
      <c r="K33" s="10"/>
      <c r="L33" s="10"/>
    </row>
    <row r="34" customFormat="false" ht="13.8" hidden="false" customHeight="true" outlineLevel="0" collapsed="false">
      <c r="A34" s="18" t="s">
        <v>24</v>
      </c>
      <c r="B34" s="10" t="s">
        <v>34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4.15" hidden="false" customHeight="true" outlineLevel="0" collapsed="false">
      <c r="A35" s="18"/>
      <c r="B35" s="26"/>
      <c r="C35" s="26"/>
      <c r="D35" s="26"/>
      <c r="E35" s="26"/>
      <c r="F35" s="26"/>
      <c r="G35" s="27"/>
      <c r="H35" s="27"/>
      <c r="I35" s="27"/>
      <c r="J35" s="27"/>
      <c r="K35" s="27"/>
      <c r="L35" s="27"/>
    </row>
    <row r="36" customFormat="false" ht="17.15" hidden="false" customHeight="true" outlineLevel="0" collapsed="false">
      <c r="A36" s="18"/>
      <c r="B36" s="21" t="s">
        <v>28</v>
      </c>
      <c r="C36" s="10" t="s">
        <v>29</v>
      </c>
      <c r="D36" s="10"/>
      <c r="E36" s="10"/>
      <c r="F36" s="10" t="s">
        <v>30</v>
      </c>
      <c r="G36" s="22" t="s">
        <v>31</v>
      </c>
      <c r="H36" s="10" t="s">
        <v>29</v>
      </c>
      <c r="I36" s="10"/>
      <c r="J36" s="10"/>
      <c r="K36" s="23" t="s">
        <v>32</v>
      </c>
      <c r="L36" s="10" t="s">
        <v>33</v>
      </c>
    </row>
    <row r="37" customFormat="false" ht="17" hidden="false" customHeight="true" outlineLevel="0" collapsed="false">
      <c r="A37" s="18"/>
      <c r="B37" s="18"/>
      <c r="C37" s="10" t="n">
        <v>1</v>
      </c>
      <c r="D37" s="10" t="n">
        <v>2</v>
      </c>
      <c r="E37" s="10" t="n">
        <v>3</v>
      </c>
      <c r="F37" s="10"/>
      <c r="G37" s="10"/>
      <c r="H37" s="10" t="n">
        <v>1</v>
      </c>
      <c r="I37" s="10" t="n">
        <v>2</v>
      </c>
      <c r="J37" s="10" t="n">
        <v>3</v>
      </c>
      <c r="K37" s="23"/>
      <c r="L37" s="23"/>
    </row>
    <row r="38" customFormat="false" ht="17" hidden="false" customHeight="true" outlineLevel="0" collapsed="false">
      <c r="A38" s="18"/>
      <c r="B38" s="10" t="n">
        <f aca="false">Данные!D3</f>
        <v>0</v>
      </c>
      <c r="C38" s="10" t="n">
        <f aca="false">Данные!D4-B38</f>
        <v>0</v>
      </c>
      <c r="D38" s="10" t="n">
        <f aca="false">Данные!H4-B38</f>
        <v>0</v>
      </c>
      <c r="E38" s="10" t="n">
        <f aca="false">Данные!L4-B38</f>
        <v>0</v>
      </c>
      <c r="F38" s="10" t="n">
        <f aca="false">MAX(C38:E38)</f>
        <v>0</v>
      </c>
      <c r="G38" s="10" t="n">
        <f aca="false">IF(VALUE(Данные!E3)&lt;&gt;180, VALUE(Данные!E3), "")</f>
        <v>0</v>
      </c>
      <c r="H38" s="10" t="n">
        <f aca="false">IF(ISNUMBER(G38), Данные!E4 - G38, "")</f>
        <v>0</v>
      </c>
      <c r="I38" s="10" t="n">
        <f aca="false">IF(ISNUMBER(G38), Данные!I4 - G38, "")</f>
        <v>0</v>
      </c>
      <c r="J38" s="10" t="n">
        <f aca="false">IF(ISNUMBER(G38), Данные!M4 - G38, "")</f>
        <v>0</v>
      </c>
      <c r="K38" s="10" t="n">
        <f aca="false">=IF(ISNUMBER(G38), SUM(H38:J38)/3, "")</f>
        <v>0</v>
      </c>
      <c r="L38" s="28" t="str">
        <f aca="false">IF(ISNUMBER(G38), TEXT(ABS(H38-K38), "0,0000") &amp; ", " &amp; TEXT(ABS(I38-K38), "0,0000") &amp; ", " &amp; TEXT(ABS(J38-K38), "0,0000"), "")</f>
        <v>0,0000, 0,0000, 0,0000</v>
      </c>
    </row>
    <row r="39" customFormat="false" ht="17" hidden="false" customHeight="true" outlineLevel="0" collapsed="false">
      <c r="A39" s="18"/>
      <c r="B39" s="24" t="str">
        <f aca="false">IF(VALUE(Данные!E3)=180, VALUE(Данные!E3), "")</f>
        <v/>
      </c>
      <c r="C39" s="24" t="str">
        <f aca="false">IF(ISNUMBER(B39), Данные!E4 - B39, "")</f>
        <v/>
      </c>
      <c r="D39" s="24" t="str">
        <f aca="false">IF(ISNUMBER(B39), Данные!I4 - B39, "")</f>
        <v/>
      </c>
      <c r="E39" s="24" t="str">
        <f aca="false">IF(ISNUMBER(B39), Данные!M4 - B39, "")</f>
        <v/>
      </c>
      <c r="F39" s="24" t="str">
        <f aca="false">IF(ISNUMBER(B39), MAX(C39:E39), "")</f>
        <v/>
      </c>
      <c r="G39" s="10"/>
      <c r="H39" s="10"/>
      <c r="I39" s="10"/>
      <c r="J39" s="10"/>
      <c r="K39" s="10"/>
      <c r="L39" s="10"/>
    </row>
    <row r="40" customFormat="false" ht="13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</row>
    <row r="41" customFormat="false" ht="13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</row>
    <row r="42" customFormat="false" ht="13.8" hidden="false" customHeight="false" outlineLevel="0" collapsed="false">
      <c r="A42" s="15" t="s">
        <v>35</v>
      </c>
      <c r="B42" s="15"/>
      <c r="C42" s="15"/>
      <c r="D42" s="16" t="s">
        <v>36</v>
      </c>
      <c r="E42" s="16"/>
      <c r="F42" s="16"/>
      <c r="G42" s="16"/>
      <c r="H42" s="16"/>
      <c r="I42" s="16"/>
      <c r="J42" s="16"/>
      <c r="K42" s="16"/>
      <c r="L42" s="16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</row>
    <row r="44" customFormat="false" ht="13.8" hidden="false" customHeight="false" outlineLevel="0" collapsed="false">
      <c r="A44" s="13" t="str">
        <f aca="false">"Поверитель: " &amp; Данные!B14</f>
        <v>Поверитель: 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6" customFormat="false" ht="13.8" hidden="false" customHeight="false" outlineLevel="0" collapsed="false">
      <c r="A46" s="13" t="e">
        <f aca="false">"Дата поверки: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</sheetData>
  <mergeCells count="68">
    <mergeCell ref="A1:L3"/>
    <mergeCell ref="A4:E4"/>
    <mergeCell ref="F4:L4"/>
    <mergeCell ref="A5:E5"/>
    <mergeCell ref="F5:L5"/>
    <mergeCell ref="A6:E6"/>
    <mergeCell ref="F6:L6"/>
    <mergeCell ref="A7:E7"/>
    <mergeCell ref="F7:L7"/>
    <mergeCell ref="A8:E9"/>
    <mergeCell ref="F8:L8"/>
    <mergeCell ref="F9:L9"/>
    <mergeCell ref="A10:E11"/>
    <mergeCell ref="F10:G11"/>
    <mergeCell ref="H10:J11"/>
    <mergeCell ref="K10:L11"/>
    <mergeCell ref="A12:E12"/>
    <mergeCell ref="F12:G12"/>
    <mergeCell ref="H12:J12"/>
    <mergeCell ref="K12:L12"/>
    <mergeCell ref="A13:E13"/>
    <mergeCell ref="F13:G13"/>
    <mergeCell ref="H13:J13"/>
    <mergeCell ref="K13:L13"/>
    <mergeCell ref="A14:E14"/>
    <mergeCell ref="F14:G14"/>
    <mergeCell ref="H14:J14"/>
    <mergeCell ref="K14:L14"/>
    <mergeCell ref="A15:E15"/>
    <mergeCell ref="F15:G15"/>
    <mergeCell ref="H15:J15"/>
    <mergeCell ref="K15:L15"/>
    <mergeCell ref="A16:E16"/>
    <mergeCell ref="F16:G16"/>
    <mergeCell ref="H16:J16"/>
    <mergeCell ref="K16:L16"/>
    <mergeCell ref="A18:L18"/>
    <mergeCell ref="A20:C20"/>
    <mergeCell ref="D20:L20"/>
    <mergeCell ref="A21:C21"/>
    <mergeCell ref="D21:L21"/>
    <mergeCell ref="A22:C22"/>
    <mergeCell ref="D22:L22"/>
    <mergeCell ref="A24:L24"/>
    <mergeCell ref="A26:A33"/>
    <mergeCell ref="B26:L26"/>
    <mergeCell ref="B27:F29"/>
    <mergeCell ref="G27:L29"/>
    <mergeCell ref="B30:B31"/>
    <mergeCell ref="C30:E30"/>
    <mergeCell ref="F30:F31"/>
    <mergeCell ref="G30:G31"/>
    <mergeCell ref="H30:J30"/>
    <mergeCell ref="K30:K31"/>
    <mergeCell ref="L30:L31"/>
    <mergeCell ref="A34:A39"/>
    <mergeCell ref="B34:L34"/>
    <mergeCell ref="B36:B37"/>
    <mergeCell ref="C36:E36"/>
    <mergeCell ref="F36:F37"/>
    <mergeCell ref="G36:G37"/>
    <mergeCell ref="H36:J36"/>
    <mergeCell ref="K36:K37"/>
    <mergeCell ref="L36:L37"/>
    <mergeCell ref="A42:C42"/>
    <mergeCell ref="D42:L42"/>
    <mergeCell ref="A44:L44"/>
    <mergeCell ref="A46:L46"/>
  </mergeCell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A39" activeCellId="0" sqref="A3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7.65"/>
    <col collapsed="false" customWidth="true" hidden="false" outlineLevel="0" max="2" min="2" style="1" width="8.98"/>
    <col collapsed="false" customWidth="true" hidden="false" outlineLevel="0" max="7" min="3" style="1" width="7.65"/>
    <col collapsed="false" customWidth="true" hidden="false" outlineLevel="0" max="10" min="8" style="1" width="5.1"/>
    <col collapsed="false" customWidth="true" hidden="false" outlineLevel="0" max="11" min="11" style="1" width="7.65"/>
    <col collapsed="false" customWidth="true" hidden="false" outlineLevel="0" max="12" min="12" style="1" width="8.89"/>
    <col collapsed="false" customWidth="false" hidden="false" outlineLevel="0" max="64" min="13" style="1" width="11.52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customFormat="false" ht="13.8" hidden="false" customHeight="fals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</row>
    <row r="4" customFormat="false" ht="13.8" hidden="false" customHeight="false" outlineLevel="0" collapsed="false">
      <c r="A4" s="29" t="s">
        <v>37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customFormat="false" ht="13.8" hidden="false" customHeight="fals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customFormat="false" ht="13.8" hidden="false" customHeight="fals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customFormat="false" ht="13.8" hidden="false" customHeight="false" outlineLevel="0" collapsed="false">
      <c r="A7" s="30" t="str">
        <f aca="false">"ПРОТОКОЛ ПОВЕРКИ № " &amp; Данные!B8</f>
        <v>ПРОТОКОЛ ПОВЕРКИ № 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customFormat="false" ht="13.8" hidden="false" customHeight="false" outlineLevel="0" collapsed="false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customFormat="false" ht="13.8" hidden="false" customHeight="false" outlineLevel="0" collapsed="false">
      <c r="A9" s="30" t="str">
        <f aca="false">"Тип секундомера " &amp; Данные!B9</f>
        <v>Тип секундомера 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customFormat="false" ht="13.8" hidden="false" customHeight="false" outlineLevel="0" collapsed="false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customFormat="false" ht="13.8" hidden="false" customHeight="false" outlineLevel="0" collapsed="false">
      <c r="A11" s="31" t="str">
        <f aca="false">"Заводской № " &amp; Данные!B10</f>
        <v>Заводской № 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8"/>
    </row>
    <row r="12" customFormat="false" ht="13.8" hidden="false" customHeight="false" outlineLevel="0" collapsed="false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customFormat="false" ht="13.8" hidden="false" customHeight="false" outlineLevel="0" collapsed="false">
      <c r="A13" s="30" t="str">
        <f aca="false">"Представлен " &amp;  Данные!B11</f>
        <v>Представлен 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customFormat="false" ht="13.8" hidden="false" customHeight="false" outlineLevel="0" collapsed="false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customFormat="false" ht="13.8" hidden="false" customHeight="false" outlineLevel="0" collapsed="false">
      <c r="A15" s="30" t="str">
        <f aca="false">"Средства поверки " &amp;  Данные!B12</f>
        <v>Средства поверки 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customFormat="false" ht="13.8" hidden="false" customHeight="false" outlineLevel="0" collapsed="false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customFormat="false" ht="13.8" hidden="false" customHeight="true" outlineLevel="0" collapsed="false">
      <c r="A17" s="18" t="s">
        <v>24</v>
      </c>
      <c r="B17" s="10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3.8" hidden="false" customHeight="true" outlineLevel="0" collapsed="false">
      <c r="A18" s="18"/>
      <c r="B18" s="19" t="s">
        <v>26</v>
      </c>
      <c r="C18" s="19"/>
      <c r="D18" s="19"/>
      <c r="E18" s="19"/>
      <c r="F18" s="19"/>
      <c r="G18" s="19" t="s">
        <v>27</v>
      </c>
      <c r="H18" s="19"/>
      <c r="I18" s="19"/>
      <c r="J18" s="19"/>
      <c r="K18" s="19"/>
      <c r="L18" s="19"/>
      <c r="P18" s="20"/>
    </row>
    <row r="19" customFormat="false" ht="13.8" hidden="false" customHeight="false" outlineLevel="0" collapsed="false">
      <c r="A19" s="18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3.8" hidden="false" customHeight="false" outlineLevel="0" collapsed="false">
      <c r="A20" s="18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P20" s="20"/>
      <c r="Q20" s="20"/>
      <c r="R20" s="20"/>
    </row>
    <row r="21" customFormat="false" ht="17.15" hidden="false" customHeight="true" outlineLevel="0" collapsed="false">
      <c r="A21" s="18"/>
      <c r="B21" s="21" t="s">
        <v>28</v>
      </c>
      <c r="C21" s="10" t="s">
        <v>29</v>
      </c>
      <c r="D21" s="10"/>
      <c r="E21" s="10"/>
      <c r="F21" s="10" t="s">
        <v>30</v>
      </c>
      <c r="G21" s="22" t="s">
        <v>31</v>
      </c>
      <c r="H21" s="10" t="s">
        <v>29</v>
      </c>
      <c r="I21" s="10"/>
      <c r="J21" s="10"/>
      <c r="K21" s="23" t="s">
        <v>32</v>
      </c>
      <c r="L21" s="10" t="s">
        <v>33</v>
      </c>
      <c r="N21" s="8"/>
    </row>
    <row r="22" customFormat="false" ht="13.8" hidden="false" customHeight="false" outlineLevel="0" collapsed="false">
      <c r="A22" s="18"/>
      <c r="B22" s="18"/>
      <c r="C22" s="10" t="n">
        <v>1</v>
      </c>
      <c r="D22" s="10" t="n">
        <v>2</v>
      </c>
      <c r="E22" s="10" t="n">
        <v>3</v>
      </c>
      <c r="F22" s="10"/>
      <c r="G22" s="10"/>
      <c r="H22" s="10" t="n">
        <v>1</v>
      </c>
      <c r="I22" s="10" t="n">
        <v>2</v>
      </c>
      <c r="J22" s="10" t="n">
        <v>3</v>
      </c>
      <c r="K22" s="23"/>
      <c r="L22" s="23"/>
      <c r="S22" s="20"/>
    </row>
    <row r="23" customFormat="false" ht="13.8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customFormat="false" ht="28.35" hidden="false" customHeight="true" outlineLevel="0" collapsed="false">
      <c r="A24" s="10" t="n">
        <v>1</v>
      </c>
      <c r="B24" s="10" t="str">
        <f aca="false">Данные!B3</f>
        <v>0</v>
      </c>
      <c r="C24" s="10" t="n">
        <f aca="false">Данные!B4-B24</f>
        <v>0</v>
      </c>
      <c r="D24" s="10" t="n">
        <f aca="false">Данные!F4-B24</f>
        <v>0</v>
      </c>
      <c r="E24" s="10" t="n">
        <f aca="false">Данные!J4-B24</f>
        <v>0</v>
      </c>
      <c r="F24" s="10" t="n">
        <f aca="false">MAX(C24:E24)</f>
        <v>0</v>
      </c>
      <c r="G24" s="24" t="n">
        <f aca="false">IF(VALUE(Данные!C3)&lt;&gt;180, VALUE(Данные!C3), "")</f>
        <v>0</v>
      </c>
      <c r="H24" s="24" t="n">
        <f aca="false">IF(ISNUMBER(G24), Данные!C4 - G24, "")</f>
        <v>0</v>
      </c>
      <c r="I24" s="24" t="n">
        <f aca="false">IF(ISNUMBER(G24), Данные!G4 - G24, "")</f>
        <v>0</v>
      </c>
      <c r="J24" s="24" t="n">
        <f aca="false">IF(ISNUMBER(G24), Данные!K4 - G24, "")</f>
        <v>0</v>
      </c>
      <c r="K24" s="24" t="n">
        <f aca="false">IF(ISNUMBER(G24), SUM(H24:J24)/3, "")</f>
        <v>0</v>
      </c>
      <c r="L24" s="25" t="str">
        <f aca="false">IF(ISNUMBER(G24), TEXT(ABS(H24-K24), "0,0000") &amp; ", " &amp; TEXT(ABS(I24-K24), "0,0000") &amp; ", " &amp; TEXT(ABS(J24-K24), "0,0000"), "")</f>
        <v>0,0000, 0,0000, 0,0000</v>
      </c>
    </row>
    <row r="25" customFormat="false" ht="14.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28.35" hidden="false" customHeight="true" outlineLevel="0" collapsed="false">
      <c r="A26" s="10" t="n">
        <v>2</v>
      </c>
      <c r="B26" s="24" t="str">
        <f aca="false">IF(VALUE(Данные!C3)=180, VALUE(Данные!C3), "")</f>
        <v/>
      </c>
      <c r="C26" s="10" t="str">
        <f aca="false">IF(ISNUMBER(B26), Данные!C4 - B26, "")</f>
        <v/>
      </c>
      <c r="D26" s="24" t="str">
        <f aca="false">IF(ISNUMBER(B26), Данные!G4 - B26, "")</f>
        <v/>
      </c>
      <c r="E26" s="24" t="str">
        <f aca="false">IF(ISNUMBER(B26), Данные!K4 - B26, "")</f>
        <v/>
      </c>
      <c r="F26" s="24" t="str">
        <f aca="false">IF(ISNUMBER(B26), MAX(C26:E26), "")</f>
        <v/>
      </c>
      <c r="G26" s="10"/>
      <c r="H26" s="10"/>
      <c r="I26" s="10"/>
      <c r="J26" s="10"/>
      <c r="K26" s="10"/>
      <c r="L26" s="10"/>
    </row>
    <row r="27" customFormat="false" ht="13.8" hidden="false" customHeight="false" outlineLevel="0" collapsed="false">
      <c r="A27" s="10"/>
      <c r="B27" s="10"/>
      <c r="C27" s="10"/>
      <c r="D27" s="24"/>
      <c r="E27" s="24"/>
      <c r="F27" s="24"/>
      <c r="G27" s="24"/>
      <c r="H27" s="24"/>
      <c r="I27" s="24"/>
      <c r="J27" s="24"/>
      <c r="K27" s="24"/>
      <c r="L27" s="24"/>
    </row>
    <row r="28" customFormat="false" ht="13.8" hidden="false" customHeight="true" outlineLevel="0" collapsed="false">
      <c r="A28" s="18" t="s">
        <v>24</v>
      </c>
      <c r="B28" s="10" t="s">
        <v>34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3.8" hidden="false" customHeight="true" outlineLevel="0" collapsed="false">
      <c r="A29" s="18"/>
      <c r="B29" s="19" t="s">
        <v>26</v>
      </c>
      <c r="C29" s="19"/>
      <c r="D29" s="19"/>
      <c r="E29" s="19"/>
      <c r="F29" s="19"/>
      <c r="G29" s="19" t="s">
        <v>27</v>
      </c>
      <c r="H29" s="19"/>
      <c r="I29" s="19"/>
      <c r="J29" s="19"/>
      <c r="K29" s="19"/>
      <c r="L29" s="19"/>
    </row>
    <row r="30" customFormat="false" ht="13.8" hidden="false" customHeight="false" outlineLevel="0" collapsed="false">
      <c r="A30" s="18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customFormat="false" ht="13.8" hidden="false" customHeight="false" outlineLevel="0" collapsed="false">
      <c r="A31" s="1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customFormat="false" ht="17.15" hidden="false" customHeight="true" outlineLevel="0" collapsed="false">
      <c r="A32" s="18"/>
      <c r="B32" s="21" t="s">
        <v>28</v>
      </c>
      <c r="C32" s="10" t="s">
        <v>29</v>
      </c>
      <c r="D32" s="10"/>
      <c r="E32" s="10"/>
      <c r="F32" s="10" t="s">
        <v>30</v>
      </c>
      <c r="G32" s="22" t="s">
        <v>31</v>
      </c>
      <c r="H32" s="10" t="s">
        <v>29</v>
      </c>
      <c r="I32" s="10"/>
      <c r="J32" s="10"/>
      <c r="K32" s="23" t="s">
        <v>32</v>
      </c>
      <c r="L32" s="10" t="s">
        <v>33</v>
      </c>
    </row>
    <row r="33" customFormat="false" ht="13.8" hidden="false" customHeight="false" outlineLevel="0" collapsed="false">
      <c r="A33" s="18"/>
      <c r="B33" s="18"/>
      <c r="C33" s="10" t="n">
        <v>1</v>
      </c>
      <c r="D33" s="10" t="n">
        <v>2</v>
      </c>
      <c r="E33" s="10" t="n">
        <v>3</v>
      </c>
      <c r="F33" s="10"/>
      <c r="G33" s="10"/>
      <c r="H33" s="10" t="n">
        <v>1</v>
      </c>
      <c r="I33" s="10" t="n">
        <v>2</v>
      </c>
      <c r="J33" s="10" t="n">
        <v>3</v>
      </c>
      <c r="K33" s="23"/>
      <c r="L33" s="23"/>
    </row>
    <row r="34" customFormat="false" ht="13.8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customFormat="false" ht="28.35" hidden="false" customHeight="true" outlineLevel="0" collapsed="false">
      <c r="A35" s="10" t="n">
        <v>1</v>
      </c>
      <c r="B35" s="10" t="n">
        <f aca="false">Данные!D3</f>
        <v>0</v>
      </c>
      <c r="C35" s="10" t="n">
        <f aca="false">Данные!D4-B35</f>
        <v>0</v>
      </c>
      <c r="D35" s="10" t="n">
        <f aca="false">Данные!H4-B35</f>
        <v>0</v>
      </c>
      <c r="E35" s="10" t="n">
        <f aca="false">Данные!L4-B35</f>
        <v>0</v>
      </c>
      <c r="F35" s="10" t="n">
        <f aca="false">MAX(C35:E35)</f>
        <v>0</v>
      </c>
      <c r="G35" s="10" t="n">
        <f aca="false">IF(VALUE(Данные!E3)&lt;&gt;180, VALUE(Данные!E3), "")</f>
        <v>0</v>
      </c>
      <c r="H35" s="10" t="n">
        <f aca="false">IF(ISNUMBER(G35), Данные!E4 - G35, "")</f>
        <v>0</v>
      </c>
      <c r="I35" s="10" t="n">
        <f aca="false">IF(ISNUMBER(G35), Данные!I4 - G35, "")</f>
        <v>0</v>
      </c>
      <c r="J35" s="10" t="n">
        <f aca="false">IF(ISNUMBER(G35), Данные!M4 - G35, "")</f>
        <v>0</v>
      </c>
      <c r="K35" s="10" t="n">
        <f aca="false">=IF(ISNUMBER(G35), SUM(H35:J35)/3, "")</f>
        <v>0</v>
      </c>
      <c r="L35" s="28" t="str">
        <f aca="false">IF(ISNUMBER(G35), TEXT(ABS(H35-K35), "0,0000") &amp; ", " &amp; TEXT(ABS(I35-K35), "0,0000") &amp; ", " &amp; TEXT(ABS(J35-K35), "0,0000"), "")</f>
        <v>0,0000, 0,0000, 0,0000</v>
      </c>
    </row>
    <row r="36" customFormat="false" ht="13.8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customFormat="false" ht="28.35" hidden="false" customHeight="true" outlineLevel="0" collapsed="false">
      <c r="A37" s="10" t="n">
        <v>2</v>
      </c>
      <c r="B37" s="24" t="str">
        <f aca="false">IF(VALUE(Данные!E3)=180, VALUE(Данные!E3), "")</f>
        <v/>
      </c>
      <c r="C37" s="24" t="str">
        <f aca="false">IF(ISNUMBER(B37), Данные!E4 - B37, "")</f>
        <v/>
      </c>
      <c r="D37" s="24" t="str">
        <f aca="false">IF(ISNUMBER(B37), Данные!I4 - B37, "")</f>
        <v/>
      </c>
      <c r="E37" s="24" t="str">
        <f aca="false">IF(ISNUMBER(B37), Данные!M4 - B37, "")</f>
        <v/>
      </c>
      <c r="F37" s="24" t="str">
        <f aca="false">IF(ISNUMBER(B37), MAX(C37:E37), "")</f>
        <v/>
      </c>
      <c r="G37" s="10"/>
      <c r="H37" s="10"/>
      <c r="I37" s="10"/>
      <c r="J37" s="10"/>
      <c r="K37" s="10"/>
      <c r="L37" s="10"/>
    </row>
    <row r="38" customFormat="false" ht="13.8" hidden="false" customHeight="false" outlineLevel="0" collapsed="false">
      <c r="A38" s="10"/>
      <c r="B38" s="10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customFormat="false" ht="13.8" hidden="false" customHeight="false" outlineLevel="0" collapsed="false">
      <c r="A39" s="32" t="str">
        <f aca="false">"Заключение по результатам поверки " &amp; Данные!B13</f>
        <v>Заключение по результатам поверки </v>
      </c>
      <c r="B39" s="32"/>
      <c r="C39" s="32"/>
      <c r="D39" s="32"/>
      <c r="E39" s="32"/>
    </row>
    <row r="40" customFormat="false" ht="13.8" hidden="false" customHeight="false" outlineLevel="0" collapsed="false">
      <c r="A40" s="32"/>
      <c r="B40" s="32"/>
      <c r="C40" s="32"/>
      <c r="D40" s="32"/>
      <c r="E40" s="32"/>
    </row>
    <row r="41" customFormat="false" ht="13.8" hidden="false" customHeight="false" outlineLevel="0" collapsed="false">
      <c r="A41" s="32"/>
      <c r="B41" s="32"/>
      <c r="C41" s="32"/>
      <c r="D41" s="32"/>
      <c r="E41" s="32"/>
    </row>
    <row r="42" customFormat="false" ht="13.8" hidden="false" customHeight="false" outlineLevel="0" collapsed="false">
      <c r="A42" s="32"/>
      <c r="B42" s="32"/>
      <c r="C42" s="32"/>
      <c r="D42" s="32"/>
      <c r="E42" s="32"/>
    </row>
    <row r="43" customFormat="false" ht="13.8" hidden="false" customHeight="false" outlineLevel="0" collapsed="false">
      <c r="A43" s="30" t="e">
        <f aca="false">"Подпись поверителя "&amp; Данные!B14 &amp;" ________ " &amp; DAY(DATEVALUE(LEFT(Данные!B2, 5) &amp; "-" &amp; MID(Данные!B2, 7, 2) &amp; "-" &amp; MID(Данные!B2, 10, 2))) &amp; "." &amp; MONTH(DATEVALUE(LEFT(Данные!B2, 5) &amp; "-" &amp; MID(Данные!B2, 7, 2) &amp; "-" &amp; MID(Данные!B2, 10, 2)))  &amp; "." &amp; YEAR(DATEVALUE(LEFT(Данные!B2, 5) &amp; "-" &amp; MID(Данные!B2, 7, 2) &amp; "-" &amp; MID(Данные!B2, 10, 2)))</f>
        <v>#VALUE!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customFormat="false" ht="13.8" hidden="false" customHeight="false" outlineLevel="0" collapsed="false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</row>
    <row r="46" customFormat="false" ht="13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</row>
    <row r="47" customFormat="false" ht="13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</row>
    <row r="48" customFormat="false" ht="13.8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</row>
    <row r="49" customFormat="false" ht="13.8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</row>
  </sheetData>
  <mergeCells count="90">
    <mergeCell ref="A4:L6"/>
    <mergeCell ref="A7:L8"/>
    <mergeCell ref="A9:L10"/>
    <mergeCell ref="A11:L12"/>
    <mergeCell ref="A13:L14"/>
    <mergeCell ref="A15:L16"/>
    <mergeCell ref="A17:A23"/>
    <mergeCell ref="B17:L17"/>
    <mergeCell ref="B18:F20"/>
    <mergeCell ref="G18:L20"/>
    <mergeCell ref="B21:B23"/>
    <mergeCell ref="C21:E21"/>
    <mergeCell ref="F21:F23"/>
    <mergeCell ref="G21:G23"/>
    <mergeCell ref="H21:J21"/>
    <mergeCell ref="K21:K23"/>
    <mergeCell ref="L21:L23"/>
    <mergeCell ref="C22:C23"/>
    <mergeCell ref="D22:D23"/>
    <mergeCell ref="E22:E23"/>
    <mergeCell ref="H22:H23"/>
    <mergeCell ref="I22:I23"/>
    <mergeCell ref="J22:J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28:A34"/>
    <mergeCell ref="B28:L28"/>
    <mergeCell ref="B29:F31"/>
    <mergeCell ref="G29:L31"/>
    <mergeCell ref="B32:B34"/>
    <mergeCell ref="C32:E32"/>
    <mergeCell ref="F32:F34"/>
    <mergeCell ref="G32:G34"/>
    <mergeCell ref="H32:J32"/>
    <mergeCell ref="K32:K34"/>
    <mergeCell ref="L32:L34"/>
    <mergeCell ref="C33:C34"/>
    <mergeCell ref="D33:D34"/>
    <mergeCell ref="E33:E34"/>
    <mergeCell ref="H33:H34"/>
    <mergeCell ref="I33:I34"/>
    <mergeCell ref="J33:J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A39:E42"/>
    <mergeCell ref="A43:L44"/>
  </mergeCell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7" activeCellId="0" sqref="B7"/>
    </sheetView>
  </sheetViews>
  <sheetFormatPr defaultColWidth="11.53515625" defaultRowHeight="15" zeroHeight="false" outlineLevelRow="0" outlineLevelCol="0"/>
  <cols>
    <col collapsed="false" customWidth="true" hidden="false" outlineLevel="0" max="1" min="1" style="33" width="26.39"/>
    <col collapsed="false" customWidth="true" hidden="false" outlineLevel="0" max="64" min="2" style="34" width="25.52"/>
  </cols>
  <sheetData>
    <row r="1" customFormat="false" ht="15" hidden="false" customHeight="false" outlineLevel="0" collapsed="false">
      <c r="A1" s="33" t="s">
        <v>38</v>
      </c>
      <c r="B1" s="35" t="s">
        <v>39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false" outlineLevel="0" collapsed="false">
      <c r="A2" s="33" t="s">
        <v>40</v>
      </c>
      <c r="B2" s="35" t="s">
        <v>39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customFormat="false" ht="15" hidden="false" customHeight="false" outlineLevel="0" collapsed="false">
      <c r="A3" s="33" t="s">
        <v>41</v>
      </c>
      <c r="B3" s="35" t="s">
        <v>39</v>
      </c>
      <c r="C3" s="35"/>
      <c r="D3" s="35"/>
      <c r="E3" s="35"/>
      <c r="F3" s="35"/>
      <c r="G3" s="35"/>
      <c r="H3" s="35"/>
      <c r="I3" s="35"/>
    </row>
    <row r="4" customFormat="false" ht="15" hidden="false" customHeight="false" outlineLevel="0" collapsed="false">
      <c r="A4" s="33" t="s">
        <v>42</v>
      </c>
      <c r="B4" s="35" t="s">
        <v>39</v>
      </c>
      <c r="C4" s="35"/>
      <c r="D4" s="35"/>
      <c r="E4" s="35"/>
      <c r="F4" s="35"/>
      <c r="G4" s="35"/>
      <c r="H4" s="35"/>
      <c r="I4" s="35"/>
    </row>
    <row r="5" customFormat="false" ht="15" hidden="false" customHeight="false" outlineLevel="0" collapsed="false">
      <c r="A5" s="33" t="s">
        <v>43</v>
      </c>
      <c r="B5" s="34" t="n">
        <v>0</v>
      </c>
    </row>
    <row r="6" customFormat="false" ht="26.85" hidden="false" customHeight="false" outlineLevel="0" collapsed="false">
      <c r="A6" s="33" t="s">
        <v>44</v>
      </c>
      <c r="B6" s="34" t="n">
        <v>0</v>
      </c>
    </row>
    <row r="8" customFormat="false" ht="15" hidden="false" customHeight="false" outlineLevel="0" collapsed="false">
      <c r="B8" s="35"/>
    </row>
    <row r="10" customFormat="false" ht="15" hidden="false" customHeight="false" outlineLevel="0" collapsed="false">
      <c r="B10" s="35"/>
    </row>
    <row r="16" customFormat="false" ht="15" hidden="false" customHeight="false" outlineLevel="0" collapsed="false">
      <c r="B16" s="35"/>
    </row>
    <row r="18" customFormat="false" ht="15" hidden="false" customHeight="false" outlineLevel="0" collapsed="false">
      <c r="B18" s="35"/>
    </row>
    <row r="19" customFormat="false" ht="15" hidden="false" customHeight="false" outlineLevel="0" collapsed="false">
      <c r="B19" s="35"/>
    </row>
    <row r="21" customFormat="false" ht="15" hidden="false" customHeight="false" outlineLevel="0" collapsed="false">
      <c r="B21" s="35"/>
    </row>
    <row r="23" customFormat="false" ht="15" hidden="false" customHeight="false" outlineLevel="0" collapsed="false">
      <c r="B23" s="35"/>
    </row>
  </sheetData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24.45" zeroHeight="false" outlineLevelRow="0" outlineLevelCol="0"/>
  <cols>
    <col collapsed="false" customWidth="false" hidden="false" outlineLevel="0" max="1024" min="1" style="36" width="11.52"/>
  </cols>
  <sheetData/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37" t="s">
        <v>45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customFormat="false" ht="12.8" hidden="false" customHeight="false" outlineLevel="0" collapsed="false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customFormat="false" ht="12.8" hidden="false" customHeight="false" outlineLevel="0" collapsed="false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customFormat="false" ht="12.8" hidden="false" customHeight="false" outlineLevel="0" collapsed="false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customFormat="false" ht="12.8" hidden="false" customHeight="false" outlineLevel="0" collapsed="false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customFormat="false" ht="12.8" hidden="false" customHeight="fals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customFormat="false" ht="12.8" hidden="false" customHeight="false" outlineLevel="0" collapsed="false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2.8" hidden="false" customHeight="fals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customFormat="false" ht="12.8" hidden="false" customHeight="false" outlineLevel="0" collapsed="false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customFormat="false" ht="12.8" hidden="false" customHeight="fals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customFormat="false" ht="12.8" hidden="false" customHeight="fals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customFormat="false" ht="12.8" hidden="false" customHeight="fals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customFormat="false" ht="12.8" hidden="false" customHeight="false" outlineLevel="0" collapsed="false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customFormat="false" ht="12.8" hidden="false" customHeight="false" outlineLevel="0" collapsed="fals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customFormat="false" ht="12.8" hidden="false" customHeight="false" outlineLevel="0" collapsed="false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</row>
    <row r="16" customFormat="false" ht="12.8" hidden="false" customHeight="fals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customFormat="false" ht="12.8" hidden="false" customHeight="false" outlineLevel="0" collapsed="false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  <row r="18" customFormat="false" ht="12.8" hidden="false" customHeight="fals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customFormat="false" ht="12.8" hidden="false" customHeight="fals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0" customFormat="false" ht="12.8" hidden="false" customHeight="fals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</row>
    <row r="21" customFormat="false" ht="12.8" hidden="false" customHeight="false" outlineLevel="0" collapsed="false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  <row r="22" customFormat="false" ht="12.8" hidden="false" customHeight="false" outlineLevel="0" collapsed="false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customFormat="false" ht="12.8" hidden="false" customHeight="fals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</row>
    <row r="24" customFormat="false" ht="12.8" hidden="false" customHeight="fals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customFormat="false" ht="12.8" hidden="false" customHeight="false" outlineLevel="0" collapsed="false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  <row r="26" customFormat="false" ht="12.8" hidden="false" customHeight="fals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</row>
    <row r="27" customFormat="false" ht="12.8" hidden="false" customHeight="fals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customFormat="false" ht="12.8" hidden="false" customHeight="fals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</row>
    <row r="29" customFormat="false" ht="12.8" hidden="false" customHeight="false" outlineLevel="0" collapsed="false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customFormat="false" ht="12.8" hidden="false" customHeight="false" outlineLevel="0" collapsed="false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customFormat="false" ht="12.8" hidden="false" customHeight="fals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customFormat="false" ht="12.8" hidden="false" customHeight="fals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</row>
    <row r="33" customFormat="false" ht="12.8" hidden="false" customHeight="fals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customFormat="false" ht="12.8" hidden="false" customHeight="false" outlineLevel="0" collapsed="false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</sheetData>
  <mergeCells count="1">
    <mergeCell ref="A1:P34"/>
  </mergeCells>
  <printOptions headings="false" gridLines="false" gridLinesSet="true" horizontalCentered="false" verticalCentered="false"/>
  <pageMargins left="0.7875" right="0.7875" top="0.886111111111111" bottom="0.886111111111111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LibreOffice/6.4.3.2$Windows_x86 LibreOffice_project/747b5d0ebf89f41c860ec2a39efd7cb15b54f2d8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ru-RU</dc:language>
  <cp:lastModifiedBy/>
  <cp:lastPrinted>2019-06-28T17:30:06Z</cp:lastPrinted>
  <dcterms:modified xsi:type="dcterms:W3CDTF">2020-11-11T10:15:50Z</dcterms:modified>
  <cp:revision>56</cp:revision>
  <dc:subject/>
  <dc:title/>
</cp:coreProperties>
</file>