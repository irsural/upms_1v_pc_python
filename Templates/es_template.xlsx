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503\Desktop\upms_1v_pc\upms_1v_pc_python\Templates_eng\"/>
    </mc:Choice>
  </mc:AlternateContent>
  <bookViews>
    <workbookView xWindow="0" yWindow="0" windowWidth="16380" windowHeight="8190" tabRatio="500" activeTab="2"/>
  </bookViews>
  <sheets>
    <sheet name="(1-10) s" sheetId="1" r:id="rId1"/>
    <sheet name="0.1 s - 10 min" sheetId="2" r:id="rId2"/>
    <sheet name="(0.3 -20) min" sheetId="3" r:id="rId3"/>
    <sheet name="Data" sheetId="4" r:id="rId4"/>
    <sheet name="Reference" sheetId="6" r:id="rId5"/>
  </sheets>
  <calcPr calcId="162913"/>
  <extLs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A1" i="3" l="1"/>
  <c r="A1" i="2"/>
  <c r="A1" i="1"/>
  <c r="H12" i="3" l="1"/>
  <c r="D39" i="3"/>
  <c r="D39" i="2"/>
  <c r="D37" i="3"/>
  <c r="D38" i="1"/>
  <c r="D37" i="2"/>
  <c r="H12" i="2"/>
  <c r="A39" i="3"/>
  <c r="A37" i="3"/>
  <c r="A39" i="2"/>
  <c r="A37" i="2"/>
  <c r="D36" i="1"/>
  <c r="D40" i="1"/>
  <c r="A40" i="1"/>
  <c r="A38" i="1"/>
  <c r="H12" i="1"/>
  <c r="H11" i="1"/>
  <c r="H29" i="3" l="1"/>
  <c r="H28" i="3"/>
  <c r="H27" i="3"/>
  <c r="H26" i="3"/>
  <c r="H25" i="3"/>
  <c r="H24" i="3"/>
  <c r="H23" i="3"/>
  <c r="D35" i="3" s="1"/>
  <c r="H11" i="3"/>
  <c r="F7" i="3"/>
  <c r="F6" i="3"/>
  <c r="F5" i="3"/>
  <c r="F4" i="3"/>
  <c r="H31" i="2"/>
  <c r="H30" i="2"/>
  <c r="H29" i="2"/>
  <c r="H28" i="2"/>
  <c r="H27" i="2"/>
  <c r="H26" i="2"/>
  <c r="H25" i="2"/>
  <c r="H24" i="2"/>
  <c r="H23" i="2"/>
  <c r="D35" i="2" s="1"/>
  <c r="H11" i="2"/>
  <c r="F7" i="2"/>
  <c r="F6" i="2"/>
  <c r="F5" i="2"/>
  <c r="F4" i="2"/>
  <c r="H34" i="1"/>
  <c r="H33" i="1"/>
  <c r="H32" i="1"/>
  <c r="H31" i="1"/>
  <c r="H30" i="1"/>
  <c r="H29" i="1"/>
  <c r="H28" i="1"/>
  <c r="H27" i="1"/>
  <c r="H26" i="1"/>
  <c r="H25" i="1"/>
  <c r="H24" i="1"/>
  <c r="H23" i="1"/>
  <c r="F7" i="1"/>
  <c r="F6" i="1"/>
  <c r="F5" i="1"/>
  <c r="F4" i="1"/>
</calcChain>
</file>

<file path=xl/sharedStrings.xml><?xml version="1.0" encoding="utf-8"?>
<sst xmlns="http://schemas.openxmlformats.org/spreadsheetml/2006/main" count="116" uniqueCount="44">
  <si>
    <t>Designation, type:</t>
  </si>
  <si>
    <t>Accessory:</t>
  </si>
  <si>
    <t>Calibration conditions:</t>
  </si>
  <si>
    <t xml:space="preserve">temperature, °C </t>
  </si>
  <si>
    <t>humidity, %</t>
  </si>
  <si>
    <t>Calibration operations:</t>
  </si>
  <si>
    <t>1. External inspection:</t>
  </si>
  <si>
    <t>2. Testing</t>
  </si>
  <si>
    <t>3. Determination of metrological characteristics</t>
  </si>
  <si>
    <t>Checkpoint</t>
  </si>
  <si>
    <t>Calibration results</t>
  </si>
  <si>
    <t>Allowed value, s</t>
  </si>
  <si>
    <t>±0.03</t>
  </si>
  <si>
    <t>±0.05</t>
  </si>
  <si>
    <t>Tolerance</t>
  </si>
  <si>
    <t>15...25</t>
  </si>
  <si>
    <t>50...80</t>
  </si>
  <si>
    <t>Measured value</t>
  </si>
  <si>
    <t>Absolute error, s</t>
  </si>
  <si>
    <t>0.5 s</t>
  </si>
  <si>
    <t>0.7 s</t>
  </si>
  <si>
    <t>1.1 s</t>
  </si>
  <si>
    <t>5.0 s</t>
  </si>
  <si>
    <t>30 s</t>
  </si>
  <si>
    <t>40 s</t>
  </si>
  <si>
    <t>1 min</t>
  </si>
  <si>
    <t>5 min</t>
  </si>
  <si>
    <t>10 min</t>
  </si>
  <si>
    <t>±0.01</t>
  </si>
  <si>
    <t>±0.015</t>
  </si>
  <si>
    <t>22 s</t>
  </si>
  <si>
    <t>15 min</t>
  </si>
  <si>
    <t>20 min</t>
  </si>
  <si>
    <t>±0.1</t>
  </si>
  <si>
    <t>Date</t>
  </si>
  <si>
    <t>Measurement interval</t>
  </si>
  <si>
    <t>Result</t>
  </si>
  <si>
    <t>Comment</t>
  </si>
  <si>
    <t>0</t>
  </si>
  <si>
    <t xml:space="preserve">For correct insertion of measurement results into the fields of the protocol, it is necessary to carry out measurements in the order 
indicated in the table of the corresponding protocol 
</t>
  </si>
  <si>
    <t>Factory #:</t>
  </si>
  <si>
    <t>Standards used:
(measuring instruments)</t>
  </si>
  <si>
    <t>Measurement #</t>
  </si>
  <si>
    <t>Fail/Pass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</si>
</sst>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ИСТИНА&quot;;&quot;ИСТИНА&quot;;&quot;ЛОЖЬ&quot;"/>
    <numFmt numFmtId="165" formatCode="0.0"/>
    <numFmt numFmtId="166" formatCode="[$-F800]dddd\,\ mmmm\ dd\,\ yyyy"/>
  </numFmts>
  <fonts count="7">
    <font>
      <sz val="10"/>
      <name val="Arial"/>
      <family val="2"/>
      <charset val="204"/>
    </font>
    <font>
      <sz val="10"/>
      <color rgb="FF000000"/>
      <name val="Mangal"/>
      <family val="2"/>
      <charset val="204"/>
    </font>
    <font>
      <sz val="11"/>
      <name val="Arial"/>
      <family val="2"/>
      <charset val="204"/>
    </font>
    <font>
      <i/>
      <sz val="11"/>
      <name val="Arial"/>
      <family val="2"/>
      <charset val="204"/>
    </font>
    <font>
      <b/>
      <sz val="12"/>
      <name val="Arial"/>
      <family val="2"/>
      <charset val="204"/>
    </font>
    <font>
      <sz val="12"/>
      <name val="Arial"/>
      <family val="2"/>
      <charset val="204"/>
    </font>
    <font>
      <sz val="15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 applyBorder="0" applyAlignment="0" applyProtection="0"/>
  </cellStyleXfs>
  <cellXfs count="48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164" fontId="2" fillId="0" borderId="0" xfId="0" applyNumberFormat="1" applyFont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49" fontId="5" fillId="0" borderId="0" xfId="0" applyNumberFormat="1" applyFont="1" applyAlignment="1">
      <alignment horizontal="center" vertical="center" wrapText="1"/>
    </xf>
    <xf numFmtId="0" fontId="5" fillId="0" borderId="0" xfId="0" applyFont="1"/>
    <xf numFmtId="0" fontId="5" fillId="0" borderId="0" xfId="0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 wrapText="1"/>
    </xf>
    <xf numFmtId="166" fontId="5" fillId="0" borderId="0" xfId="0" applyNumberFormat="1" applyFont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165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166" fontId="2" fillId="0" borderId="0" xfId="0" applyNumberFormat="1" applyFont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2" fillId="0" borderId="6" xfId="0" applyFont="1" applyBorder="1" applyAlignment="1">
      <alignment horizontal="center" vertical="top" wrapText="1"/>
    </xf>
    <xf numFmtId="0" fontId="2" fillId="0" borderId="7" xfId="0" applyFont="1" applyBorder="1" applyAlignment="1">
      <alignment horizontal="center" vertical="top" wrapText="1"/>
    </xf>
    <xf numFmtId="0" fontId="2" fillId="0" borderId="8" xfId="0" applyFont="1" applyBorder="1" applyAlignment="1">
      <alignment horizontal="center" vertical="top" wrapText="1"/>
    </xf>
    <xf numFmtId="0" fontId="2" fillId="0" borderId="9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vertical="top"/>
    </xf>
    <xf numFmtId="0" fontId="0" fillId="0" borderId="1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left"/>
    </xf>
    <xf numFmtId="49" fontId="2" fillId="0" borderId="1" xfId="0" applyNumberFormat="1" applyFont="1" applyBorder="1" applyAlignment="1">
      <alignment horizontal="left" vertical="center"/>
    </xf>
    <xf numFmtId="49" fontId="2" fillId="0" borderId="11" xfId="0" applyNumberFormat="1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center" vertical="center"/>
    </xf>
    <xf numFmtId="0" fontId="6" fillId="0" borderId="0" xfId="0" applyFont="1" applyAlignment="1">
      <alignment horizontal="left" vertical="top" wrapText="1"/>
    </xf>
  </cellXfs>
  <cellStyles count="2">
    <cellStyle name="Заголовок" xfId="1"/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40"/>
  <sheetViews>
    <sheetView zoomScale="90" zoomScaleNormal="90" workbookViewId="0">
      <selection activeCell="A4" sqref="A4:E4"/>
    </sheetView>
  </sheetViews>
  <sheetFormatPr defaultColWidth="11.5703125" defaultRowHeight="14.25"/>
  <cols>
    <col min="1" max="1" width="7.7109375" style="1" customWidth="1"/>
    <col min="2" max="2" width="9" style="1" customWidth="1"/>
    <col min="3" max="7" width="7.7109375" style="1" customWidth="1"/>
    <col min="8" max="10" width="5.140625" style="1" customWidth="1"/>
    <col min="11" max="11" width="7.7109375" style="1" customWidth="1"/>
    <col min="12" max="12" width="8.85546875" style="1" customWidth="1"/>
    <col min="13" max="64" width="11.5703125" style="1"/>
  </cols>
  <sheetData>
    <row r="1" spans="1:13">
      <c r="A1" s="42" t="str">
        <f>"ELECTRIC STOPWATCH"  &amp; CHAR(10) &amp; " CALIBRATION RECORD" &amp; CHAR(10) &amp; " # " &amp; Data!B8</f>
        <v xml:space="preserve">ELECTRIC STOPWATCH
 CALIBRATION RECORD
 # 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</row>
    <row r="2" spans="1:13">
      <c r="A2" s="42"/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</row>
    <row r="3" spans="1:13">
      <c r="A3" s="42"/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</row>
    <row r="4" spans="1:13">
      <c r="A4" s="23" t="s">
        <v>0</v>
      </c>
      <c r="B4" s="23"/>
      <c r="C4" s="23"/>
      <c r="D4" s="23"/>
      <c r="E4" s="23"/>
      <c r="F4" s="23">
        <f>Data!B9</f>
        <v>0</v>
      </c>
      <c r="G4" s="23"/>
      <c r="H4" s="23"/>
      <c r="I4" s="23"/>
      <c r="J4" s="23"/>
      <c r="K4" s="23"/>
      <c r="L4" s="23"/>
    </row>
    <row r="5" spans="1:13">
      <c r="A5" s="43" t="s">
        <v>40</v>
      </c>
      <c r="B5" s="43"/>
      <c r="C5" s="43"/>
      <c r="D5" s="43"/>
      <c r="E5" s="43"/>
      <c r="F5" s="44">
        <f>Data!B10</f>
        <v>0</v>
      </c>
      <c r="G5" s="23"/>
      <c r="H5" s="23"/>
      <c r="I5" s="23"/>
      <c r="J5" s="23"/>
      <c r="K5" s="23"/>
      <c r="L5" s="23"/>
    </row>
    <row r="6" spans="1:13">
      <c r="A6" s="23" t="s">
        <v>1</v>
      </c>
      <c r="B6" s="23"/>
      <c r="C6" s="23"/>
      <c r="D6" s="23"/>
      <c r="E6" s="23"/>
      <c r="F6" s="23">
        <f>Data!B11</f>
        <v>0</v>
      </c>
      <c r="G6" s="23"/>
      <c r="H6" s="23"/>
      <c r="I6" s="23"/>
      <c r="J6" s="23"/>
      <c r="K6" s="23"/>
      <c r="L6" s="23"/>
    </row>
    <row r="7" spans="1:13" ht="13.9" customHeight="1">
      <c r="A7" s="35" t="s">
        <v>41</v>
      </c>
      <c r="B7" s="35"/>
      <c r="C7" s="35"/>
      <c r="D7" s="35"/>
      <c r="E7" s="35"/>
      <c r="F7" s="36">
        <f>Data!B12</f>
        <v>0</v>
      </c>
      <c r="G7" s="37"/>
      <c r="H7" s="37"/>
      <c r="I7" s="37"/>
      <c r="J7" s="37"/>
      <c r="K7" s="37"/>
      <c r="L7" s="38"/>
      <c r="M7" s="2"/>
    </row>
    <row r="8" spans="1:13">
      <c r="A8" s="35"/>
      <c r="B8" s="35"/>
      <c r="C8" s="35"/>
      <c r="D8" s="35"/>
      <c r="E8" s="35"/>
      <c r="F8" s="39"/>
      <c r="G8" s="40"/>
      <c r="H8" s="40"/>
      <c r="I8" s="40"/>
      <c r="J8" s="40"/>
      <c r="K8" s="40"/>
      <c r="L8" s="41"/>
      <c r="M8" s="2"/>
    </row>
    <row r="9" spans="1:13" ht="13.9" customHeight="1">
      <c r="A9" s="34" t="s">
        <v>2</v>
      </c>
      <c r="B9" s="34"/>
      <c r="C9" s="34"/>
      <c r="D9" s="34"/>
      <c r="E9" s="34"/>
      <c r="F9" s="17" t="s">
        <v>14</v>
      </c>
      <c r="G9" s="17"/>
      <c r="H9" s="24" t="s">
        <v>17</v>
      </c>
      <c r="I9" s="25"/>
      <c r="J9" s="25"/>
      <c r="K9" s="25"/>
      <c r="L9" s="26"/>
    </row>
    <row r="10" spans="1:13">
      <c r="A10" s="34"/>
      <c r="B10" s="34"/>
      <c r="C10" s="34"/>
      <c r="D10" s="34"/>
      <c r="E10" s="34"/>
      <c r="F10" s="17"/>
      <c r="G10" s="17"/>
      <c r="H10" s="27"/>
      <c r="I10" s="28"/>
      <c r="J10" s="28"/>
      <c r="K10" s="28"/>
      <c r="L10" s="29"/>
    </row>
    <row r="11" spans="1:13">
      <c r="A11" s="23" t="s">
        <v>3</v>
      </c>
      <c r="B11" s="23"/>
      <c r="C11" s="23"/>
      <c r="D11" s="23"/>
      <c r="E11" s="23"/>
      <c r="F11" s="17" t="s">
        <v>15</v>
      </c>
      <c r="G11" s="17"/>
      <c r="H11" s="30">
        <f>Data!B15</f>
        <v>0</v>
      </c>
      <c r="I11" s="31"/>
      <c r="J11" s="31"/>
      <c r="K11" s="31"/>
      <c r="L11" s="32"/>
    </row>
    <row r="12" spans="1:13">
      <c r="A12" s="23" t="s">
        <v>4</v>
      </c>
      <c r="B12" s="23"/>
      <c r="C12" s="23"/>
      <c r="D12" s="23"/>
      <c r="E12" s="23"/>
      <c r="F12" s="17" t="s">
        <v>16</v>
      </c>
      <c r="G12" s="17"/>
      <c r="H12" s="33">
        <f>Data!B16</f>
        <v>0</v>
      </c>
      <c r="I12" s="31"/>
      <c r="J12" s="31"/>
      <c r="K12" s="31"/>
      <c r="L12" s="32"/>
    </row>
    <row r="13" spans="1:13">
      <c r="A13" s="3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</row>
    <row r="14" spans="1:13">
      <c r="A14" s="18" t="s">
        <v>5</v>
      </c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</row>
    <row r="15" spans="1:13">
      <c r="A15" s="3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spans="1:13">
      <c r="A16" s="14" t="s">
        <v>6</v>
      </c>
      <c r="B16" s="14"/>
      <c r="C16" s="14"/>
      <c r="D16" s="15" t="s">
        <v>43</v>
      </c>
      <c r="E16" s="15"/>
      <c r="F16" s="15"/>
      <c r="G16" s="15"/>
      <c r="H16" s="15"/>
      <c r="I16" s="15"/>
      <c r="J16" s="15"/>
      <c r="K16" s="15"/>
      <c r="L16" s="15"/>
    </row>
    <row r="17" spans="1:17">
      <c r="A17" s="22"/>
      <c r="B17" s="22"/>
      <c r="C17" s="22"/>
      <c r="D17" s="14"/>
      <c r="E17" s="14"/>
      <c r="F17" s="14"/>
      <c r="G17" s="14"/>
      <c r="H17" s="14"/>
      <c r="I17" s="14"/>
      <c r="J17" s="14"/>
      <c r="K17" s="14"/>
      <c r="L17" s="14"/>
    </row>
    <row r="18" spans="1:17">
      <c r="A18" s="14" t="s">
        <v>7</v>
      </c>
      <c r="B18" s="14"/>
      <c r="C18" s="14"/>
      <c r="D18" s="15" t="s">
        <v>43</v>
      </c>
      <c r="E18" s="15"/>
      <c r="F18" s="15"/>
      <c r="G18" s="15"/>
      <c r="H18" s="15"/>
      <c r="I18" s="15"/>
      <c r="J18" s="15"/>
      <c r="K18" s="15"/>
      <c r="L18" s="15"/>
    </row>
    <row r="19" spans="1:17">
      <c r="A19" s="3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</row>
    <row r="20" spans="1:17">
      <c r="A20" s="18" t="s">
        <v>8</v>
      </c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Q20" s="5"/>
    </row>
    <row r="21" spans="1:17">
      <c r="A21" s="3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1:17">
      <c r="A22" s="17" t="s">
        <v>9</v>
      </c>
      <c r="B22" s="17"/>
      <c r="C22" s="17"/>
      <c r="D22" s="17" t="s">
        <v>11</v>
      </c>
      <c r="E22" s="17"/>
      <c r="F22" s="17"/>
      <c r="G22" s="17"/>
      <c r="H22" s="17" t="s">
        <v>18</v>
      </c>
      <c r="I22" s="17"/>
      <c r="J22" s="17"/>
      <c r="K22" s="17"/>
      <c r="L22" s="17"/>
    </row>
    <row r="23" spans="1:17">
      <c r="A23" s="17">
        <v>0.1</v>
      </c>
      <c r="B23" s="17"/>
      <c r="C23" s="17"/>
      <c r="D23" s="17" t="s">
        <v>12</v>
      </c>
      <c r="E23" s="17"/>
      <c r="F23" s="17"/>
      <c r="G23" s="17"/>
      <c r="H23" s="21">
        <f>Data!B4 - 0.1</f>
        <v>-0.1</v>
      </c>
      <c r="I23" s="17"/>
      <c r="J23" s="17"/>
      <c r="K23" s="17"/>
      <c r="L23" s="17"/>
    </row>
    <row r="24" spans="1:17">
      <c r="A24" s="17">
        <v>0.2</v>
      </c>
      <c r="B24" s="17"/>
      <c r="C24" s="17"/>
      <c r="D24" s="17" t="s">
        <v>12</v>
      </c>
      <c r="E24" s="17"/>
      <c r="F24" s="17"/>
      <c r="G24" s="17"/>
      <c r="H24" s="21">
        <f>Data!C4 - 0.2</f>
        <v>-0.2</v>
      </c>
      <c r="I24" s="17"/>
      <c r="J24" s="17"/>
      <c r="K24" s="17"/>
      <c r="L24" s="17"/>
    </row>
    <row r="25" spans="1:17">
      <c r="A25" s="17">
        <v>0.3</v>
      </c>
      <c r="B25" s="17"/>
      <c r="C25" s="17"/>
      <c r="D25" s="17" t="s">
        <v>12</v>
      </c>
      <c r="E25" s="17"/>
      <c r="F25" s="17"/>
      <c r="G25" s="17"/>
      <c r="H25" s="21">
        <f>Data!D4 - 0.3</f>
        <v>-0.3</v>
      </c>
      <c r="I25" s="17"/>
      <c r="J25" s="17"/>
      <c r="K25" s="17"/>
      <c r="L25" s="17"/>
    </row>
    <row r="26" spans="1:17">
      <c r="A26" s="17">
        <v>0.4</v>
      </c>
      <c r="B26" s="17"/>
      <c r="C26" s="17"/>
      <c r="D26" s="17" t="s">
        <v>12</v>
      </c>
      <c r="E26" s="17"/>
      <c r="F26" s="17"/>
      <c r="G26" s="17"/>
      <c r="H26" s="21">
        <f>Data!E4 - 0.4</f>
        <v>-0.4</v>
      </c>
      <c r="I26" s="17"/>
      <c r="J26" s="17"/>
      <c r="K26" s="17"/>
      <c r="L26" s="17"/>
    </row>
    <row r="27" spans="1:17">
      <c r="A27" s="17">
        <v>0.5</v>
      </c>
      <c r="B27" s="17"/>
      <c r="C27" s="17"/>
      <c r="D27" s="17" t="s">
        <v>12</v>
      </c>
      <c r="E27" s="17"/>
      <c r="F27" s="17"/>
      <c r="G27" s="17"/>
      <c r="H27" s="21">
        <f>Data!F4 - 0.5</f>
        <v>-0.5</v>
      </c>
      <c r="I27" s="17"/>
      <c r="J27" s="17"/>
      <c r="K27" s="17"/>
      <c r="L27" s="17"/>
    </row>
    <row r="28" spans="1:17">
      <c r="A28" s="17">
        <v>0.6</v>
      </c>
      <c r="B28" s="17"/>
      <c r="C28" s="17"/>
      <c r="D28" s="17" t="s">
        <v>12</v>
      </c>
      <c r="E28" s="17"/>
      <c r="F28" s="17"/>
      <c r="G28" s="17"/>
      <c r="H28" s="21">
        <f>Data!G4 - 0.6</f>
        <v>-0.6</v>
      </c>
      <c r="I28" s="17"/>
      <c r="J28" s="17"/>
      <c r="K28" s="17"/>
      <c r="L28" s="17"/>
    </row>
    <row r="29" spans="1:17">
      <c r="A29" s="17">
        <v>0.7</v>
      </c>
      <c r="B29" s="17"/>
      <c r="C29" s="17"/>
      <c r="D29" s="17" t="s">
        <v>12</v>
      </c>
      <c r="E29" s="17"/>
      <c r="F29" s="17"/>
      <c r="G29" s="17"/>
      <c r="H29" s="21">
        <f>Data!H4 - 0.7</f>
        <v>-0.7</v>
      </c>
      <c r="I29" s="17"/>
      <c r="J29" s="17"/>
      <c r="K29" s="17"/>
      <c r="L29" s="17"/>
    </row>
    <row r="30" spans="1:17">
      <c r="A30" s="17">
        <v>0.8</v>
      </c>
      <c r="B30" s="17"/>
      <c r="C30" s="17"/>
      <c r="D30" s="17" t="s">
        <v>12</v>
      </c>
      <c r="E30" s="17"/>
      <c r="F30" s="17"/>
      <c r="G30" s="17"/>
      <c r="H30" s="21">
        <f>Data!I4 - 0.8</f>
        <v>-0.8</v>
      </c>
      <c r="I30" s="17"/>
      <c r="J30" s="17"/>
      <c r="K30" s="17"/>
      <c r="L30" s="17"/>
    </row>
    <row r="31" spans="1:17">
      <c r="A31" s="17">
        <v>0.9</v>
      </c>
      <c r="B31" s="17"/>
      <c r="C31" s="17"/>
      <c r="D31" s="17" t="s">
        <v>12</v>
      </c>
      <c r="E31" s="17"/>
      <c r="F31" s="17"/>
      <c r="G31" s="17"/>
      <c r="H31" s="17">
        <f>Data!J4 - 0.9</f>
        <v>-0.9</v>
      </c>
      <c r="I31" s="17"/>
      <c r="J31" s="17"/>
      <c r="K31" s="17"/>
      <c r="L31" s="17"/>
    </row>
    <row r="32" spans="1:17">
      <c r="A32" s="16">
        <v>1</v>
      </c>
      <c r="B32" s="16"/>
      <c r="C32" s="16"/>
      <c r="D32" s="17" t="s">
        <v>12</v>
      </c>
      <c r="E32" s="17"/>
      <c r="F32" s="17"/>
      <c r="G32" s="17"/>
      <c r="H32" s="17">
        <f>Data!K4 - 1</f>
        <v>-1</v>
      </c>
      <c r="I32" s="17"/>
      <c r="J32" s="17"/>
      <c r="K32" s="17"/>
      <c r="L32" s="17"/>
    </row>
    <row r="33" spans="1:12">
      <c r="A33" s="16">
        <v>5</v>
      </c>
      <c r="B33" s="16"/>
      <c r="C33" s="16"/>
      <c r="D33" s="17" t="s">
        <v>13</v>
      </c>
      <c r="E33" s="17"/>
      <c r="F33" s="17"/>
      <c r="G33" s="17"/>
      <c r="H33" s="17">
        <f>Data!L4 - 5</f>
        <v>-5</v>
      </c>
      <c r="I33" s="17"/>
      <c r="J33" s="17"/>
      <c r="K33" s="17"/>
      <c r="L33" s="17"/>
    </row>
    <row r="34" spans="1:12">
      <c r="A34" s="16">
        <v>10</v>
      </c>
      <c r="B34" s="16"/>
      <c r="C34" s="16"/>
      <c r="D34" s="17" t="s">
        <v>13</v>
      </c>
      <c r="E34" s="17"/>
      <c r="F34" s="17"/>
      <c r="G34" s="17"/>
      <c r="H34" s="17">
        <f>Data!M4 - 10</f>
        <v>-10</v>
      </c>
      <c r="I34" s="17"/>
      <c r="J34" s="17"/>
      <c r="K34" s="17"/>
      <c r="L34" s="17"/>
    </row>
    <row r="35" spans="1:12">
      <c r="A35"/>
      <c r="B35"/>
      <c r="C35"/>
      <c r="D35"/>
      <c r="E35"/>
      <c r="F35"/>
      <c r="G35"/>
      <c r="H35"/>
      <c r="I35"/>
      <c r="J35"/>
      <c r="K35"/>
      <c r="L35"/>
    </row>
    <row r="36" spans="1:12">
      <c r="A36" s="14" t="s">
        <v>10</v>
      </c>
      <c r="B36" s="14"/>
      <c r="C36" s="14"/>
      <c r="D36" s="15" t="str">
        <f>IF(OR(ABS(H23)&gt;0.03,ABS(H24)&gt;0.03,ABS(H25)&gt;0.03,ABS(H26)&gt;0.03, ABS(H27)&gt;0.03, ABS(H28)&gt;0.03, ABS(H29)&gt;0.03, ABS(H30)&gt;0.03,ABS(H31)&gt;0.03, ABS(H32)&gt;0.03, ABS(H33)&gt;0.05,ABS(H34)&gt;0.05), "Fail","Pass")</f>
        <v>Fail</v>
      </c>
      <c r="E36" s="15"/>
      <c r="F36" s="15"/>
      <c r="G36" s="15"/>
      <c r="H36" s="15"/>
      <c r="I36" s="15"/>
      <c r="J36" s="15"/>
      <c r="K36" s="15"/>
      <c r="L36" s="15"/>
    </row>
    <row r="37" spans="1:12">
      <c r="A37"/>
      <c r="B37"/>
      <c r="C37"/>
      <c r="D37"/>
      <c r="E37"/>
      <c r="F37"/>
      <c r="G37"/>
      <c r="H37"/>
      <c r="I37"/>
      <c r="J37"/>
      <c r="K37"/>
      <c r="L37"/>
    </row>
    <row r="38" spans="1:12">
      <c r="A38" s="18" t="str">
        <f>"Calibration officer: "</f>
        <v xml:space="preserve">Calibration officer: </v>
      </c>
      <c r="B38" s="18"/>
      <c r="C38" s="18"/>
      <c r="D38" s="19">
        <f>Data!B14</f>
        <v>0</v>
      </c>
      <c r="E38" s="19"/>
      <c r="F38" s="19"/>
      <c r="G38" s="19"/>
      <c r="H38" s="19"/>
      <c r="I38" s="19"/>
      <c r="J38" s="19"/>
      <c r="K38" s="19"/>
      <c r="L38" s="19"/>
    </row>
    <row r="40" spans="1:12">
      <c r="A40" s="18" t="str">
        <f>"Calibration date: "</f>
        <v xml:space="preserve">Calibration date: </v>
      </c>
      <c r="B40" s="18"/>
      <c r="C40" s="18"/>
      <c r="D40" s="20">
        <f>Data!B2</f>
        <v>0</v>
      </c>
      <c r="E40" s="20"/>
      <c r="F40" s="20"/>
      <c r="G40" s="20"/>
      <c r="H40" s="20"/>
      <c r="I40" s="20"/>
      <c r="J40" s="20"/>
      <c r="K40" s="20"/>
      <c r="L40" s="20"/>
    </row>
  </sheetData>
  <mergeCells count="71">
    <mergeCell ref="A6:E6"/>
    <mergeCell ref="F6:L6"/>
    <mergeCell ref="A7:E8"/>
    <mergeCell ref="F7:L8"/>
    <mergeCell ref="A1:L3"/>
    <mergeCell ref="A4:E4"/>
    <mergeCell ref="F4:L4"/>
    <mergeCell ref="A5:E5"/>
    <mergeCell ref="F5:L5"/>
    <mergeCell ref="A12:E12"/>
    <mergeCell ref="F12:G12"/>
    <mergeCell ref="H9:L10"/>
    <mergeCell ref="H11:L11"/>
    <mergeCell ref="H12:L12"/>
    <mergeCell ref="A9:E10"/>
    <mergeCell ref="F9:G10"/>
    <mergeCell ref="A11:E11"/>
    <mergeCell ref="F11:G11"/>
    <mergeCell ref="A14:L14"/>
    <mergeCell ref="A16:C16"/>
    <mergeCell ref="D16:L16"/>
    <mergeCell ref="A17:C17"/>
    <mergeCell ref="D17:L17"/>
    <mergeCell ref="A18:C18"/>
    <mergeCell ref="D18:L18"/>
    <mergeCell ref="A20:L20"/>
    <mergeCell ref="A22:C22"/>
    <mergeCell ref="D22:G22"/>
    <mergeCell ref="H22:L22"/>
    <mergeCell ref="A23:C23"/>
    <mergeCell ref="D23:G23"/>
    <mergeCell ref="H23:L23"/>
    <mergeCell ref="A24:C24"/>
    <mergeCell ref="D24:G24"/>
    <mergeCell ref="H24:L24"/>
    <mergeCell ref="A25:C25"/>
    <mergeCell ref="D25:G25"/>
    <mergeCell ref="H25:L25"/>
    <mergeCell ref="A26:C26"/>
    <mergeCell ref="D26:G26"/>
    <mergeCell ref="H26:L26"/>
    <mergeCell ref="A27:C27"/>
    <mergeCell ref="D27:G27"/>
    <mergeCell ref="H27:L27"/>
    <mergeCell ref="A28:C28"/>
    <mergeCell ref="D28:G28"/>
    <mergeCell ref="H28:L28"/>
    <mergeCell ref="A29:C29"/>
    <mergeCell ref="D29:G29"/>
    <mergeCell ref="H29:L29"/>
    <mergeCell ref="A30:C30"/>
    <mergeCell ref="D30:G30"/>
    <mergeCell ref="H30:L30"/>
    <mergeCell ref="A38:C38"/>
    <mergeCell ref="D38:L38"/>
    <mergeCell ref="A40:C40"/>
    <mergeCell ref="D40:L40"/>
    <mergeCell ref="A31:C31"/>
    <mergeCell ref="D31:G31"/>
    <mergeCell ref="H31:L31"/>
    <mergeCell ref="A32:C32"/>
    <mergeCell ref="D32:G32"/>
    <mergeCell ref="H32:L32"/>
    <mergeCell ref="A36:C36"/>
    <mergeCell ref="D36:L36"/>
    <mergeCell ref="A33:C33"/>
    <mergeCell ref="D33:G33"/>
    <mergeCell ref="H33:L33"/>
    <mergeCell ref="A34:C34"/>
    <mergeCell ref="D34:G34"/>
    <mergeCell ref="H34:L34"/>
  </mergeCells>
  <pageMargins left="0.78749999999999998" right="0.78749999999999998" top="0.88611111111111096" bottom="0.88611111111111096" header="0.78749999999999998" footer="0.78749999999999998"/>
  <pageSetup paperSize="9" orientation="portrait" useFirstPageNumber="1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39"/>
  <sheetViews>
    <sheetView zoomScale="90" zoomScaleNormal="90" workbookViewId="0">
      <selection activeCell="A4" sqref="A4:E4"/>
    </sheetView>
  </sheetViews>
  <sheetFormatPr defaultColWidth="11.5703125" defaultRowHeight="14.25"/>
  <cols>
    <col min="1" max="1" width="7.7109375" style="1" customWidth="1"/>
    <col min="2" max="2" width="9" style="1" customWidth="1"/>
    <col min="3" max="7" width="7.7109375" style="1" customWidth="1"/>
    <col min="8" max="10" width="5.140625" style="1" customWidth="1"/>
    <col min="11" max="11" width="7.7109375" style="1" customWidth="1"/>
    <col min="12" max="12" width="8.85546875" style="1" customWidth="1"/>
    <col min="13" max="64" width="11.5703125" style="1"/>
  </cols>
  <sheetData>
    <row r="1" spans="1:13">
      <c r="A1" s="42" t="str">
        <f>"ELECTRIC STOPWATCH"  &amp; CHAR(10) &amp; " CALIBRATION RECORD" &amp; CHAR(10) &amp; " # " &amp; Data!B8</f>
        <v xml:space="preserve">ELECTRIC STOPWATCH
 CALIBRATION RECORD
 # 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</row>
    <row r="2" spans="1:13">
      <c r="A2" s="42"/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</row>
    <row r="3" spans="1:13">
      <c r="A3" s="42"/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</row>
    <row r="4" spans="1:13">
      <c r="A4" s="23" t="s">
        <v>0</v>
      </c>
      <c r="B4" s="23"/>
      <c r="C4" s="23"/>
      <c r="D4" s="23"/>
      <c r="E4" s="23"/>
      <c r="F4" s="23">
        <f>Data!B9</f>
        <v>0</v>
      </c>
      <c r="G4" s="23"/>
      <c r="H4" s="23"/>
      <c r="I4" s="23"/>
      <c r="J4" s="23"/>
      <c r="K4" s="23"/>
      <c r="L4" s="23"/>
    </row>
    <row r="5" spans="1:13">
      <c r="A5" s="43" t="s">
        <v>40</v>
      </c>
      <c r="B5" s="43"/>
      <c r="C5" s="43"/>
      <c r="D5" s="43"/>
      <c r="E5" s="43"/>
      <c r="F5" s="44">
        <f>Data!B10</f>
        <v>0</v>
      </c>
      <c r="G5" s="23"/>
      <c r="H5" s="23"/>
      <c r="I5" s="23"/>
      <c r="J5" s="23"/>
      <c r="K5" s="23"/>
      <c r="L5" s="23"/>
    </row>
    <row r="6" spans="1:13">
      <c r="A6" s="23" t="s">
        <v>1</v>
      </c>
      <c r="B6" s="23"/>
      <c r="C6" s="23"/>
      <c r="D6" s="23"/>
      <c r="E6" s="23"/>
      <c r="F6" s="23">
        <f>Data!B11</f>
        <v>0</v>
      </c>
      <c r="G6" s="23"/>
      <c r="H6" s="23"/>
      <c r="I6" s="23"/>
      <c r="J6" s="23"/>
      <c r="K6" s="23"/>
      <c r="L6" s="23"/>
    </row>
    <row r="7" spans="1:13" ht="13.9" customHeight="1">
      <c r="A7" s="35" t="s">
        <v>41</v>
      </c>
      <c r="B7" s="35"/>
      <c r="C7" s="35"/>
      <c r="D7" s="35"/>
      <c r="E7" s="35"/>
      <c r="F7" s="36">
        <f>Data!B12</f>
        <v>0</v>
      </c>
      <c r="G7" s="37"/>
      <c r="H7" s="37"/>
      <c r="I7" s="37"/>
      <c r="J7" s="37"/>
      <c r="K7" s="37"/>
      <c r="L7" s="38"/>
      <c r="M7" s="2"/>
    </row>
    <row r="8" spans="1:13">
      <c r="A8" s="35"/>
      <c r="B8" s="35"/>
      <c r="C8" s="35"/>
      <c r="D8" s="35"/>
      <c r="E8" s="35"/>
      <c r="F8" s="39"/>
      <c r="G8" s="40"/>
      <c r="H8" s="40"/>
      <c r="I8" s="40"/>
      <c r="J8" s="40"/>
      <c r="K8" s="40"/>
      <c r="L8" s="41"/>
      <c r="M8" s="2"/>
    </row>
    <row r="9" spans="1:13" ht="13.9" customHeight="1">
      <c r="A9" s="34" t="s">
        <v>2</v>
      </c>
      <c r="B9" s="34"/>
      <c r="C9" s="34"/>
      <c r="D9" s="34"/>
      <c r="E9" s="34"/>
      <c r="F9" s="17" t="s">
        <v>14</v>
      </c>
      <c r="G9" s="17"/>
      <c r="H9" s="24" t="s">
        <v>17</v>
      </c>
      <c r="I9" s="25"/>
      <c r="J9" s="25"/>
      <c r="K9" s="25"/>
      <c r="L9" s="26"/>
    </row>
    <row r="10" spans="1:13">
      <c r="A10" s="34"/>
      <c r="B10" s="34"/>
      <c r="C10" s="34"/>
      <c r="D10" s="34"/>
      <c r="E10" s="34"/>
      <c r="F10" s="17"/>
      <c r="G10" s="17"/>
      <c r="H10" s="27"/>
      <c r="I10" s="28"/>
      <c r="J10" s="28"/>
      <c r="K10" s="28"/>
      <c r="L10" s="29"/>
    </row>
    <row r="11" spans="1:13">
      <c r="A11" s="23" t="s">
        <v>3</v>
      </c>
      <c r="B11" s="23"/>
      <c r="C11" s="23"/>
      <c r="D11" s="23"/>
      <c r="E11" s="23"/>
      <c r="F11" s="17" t="s">
        <v>15</v>
      </c>
      <c r="G11" s="17"/>
      <c r="H11" s="30">
        <f>Data!B15</f>
        <v>0</v>
      </c>
      <c r="I11" s="31"/>
      <c r="J11" s="31"/>
      <c r="K11" s="31"/>
      <c r="L11" s="32"/>
    </row>
    <row r="12" spans="1:13">
      <c r="A12" s="23" t="s">
        <v>4</v>
      </c>
      <c r="B12" s="23"/>
      <c r="C12" s="23"/>
      <c r="D12" s="23"/>
      <c r="E12" s="23"/>
      <c r="F12" s="17" t="s">
        <v>16</v>
      </c>
      <c r="G12" s="17"/>
      <c r="H12" s="33">
        <f>Data!B16</f>
        <v>0</v>
      </c>
      <c r="I12" s="45"/>
      <c r="J12" s="45"/>
      <c r="K12" s="45"/>
      <c r="L12" s="46"/>
    </row>
    <row r="13" spans="1:13">
      <c r="A13" s="3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</row>
    <row r="14" spans="1:13">
      <c r="A14" s="18" t="s">
        <v>5</v>
      </c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</row>
    <row r="15" spans="1:13">
      <c r="A15" s="3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spans="1:13">
      <c r="A16" s="14" t="s">
        <v>6</v>
      </c>
      <c r="B16" s="14"/>
      <c r="C16" s="14"/>
      <c r="D16" s="15" t="s">
        <v>43</v>
      </c>
      <c r="E16" s="15"/>
      <c r="F16" s="15"/>
      <c r="G16" s="15"/>
      <c r="H16" s="15"/>
      <c r="I16" s="15"/>
      <c r="J16" s="15"/>
      <c r="K16" s="15"/>
      <c r="L16" s="15"/>
    </row>
    <row r="17" spans="1:17">
      <c r="A17" s="22"/>
      <c r="B17" s="22"/>
      <c r="C17" s="22"/>
      <c r="D17" s="14"/>
      <c r="E17" s="14"/>
      <c r="F17" s="14"/>
      <c r="G17" s="14"/>
      <c r="H17" s="14"/>
      <c r="I17" s="14"/>
      <c r="J17" s="14"/>
      <c r="K17" s="14"/>
      <c r="L17" s="14"/>
    </row>
    <row r="18" spans="1:17">
      <c r="A18" s="14" t="s">
        <v>7</v>
      </c>
      <c r="B18" s="14"/>
      <c r="C18" s="14"/>
      <c r="D18" s="15" t="s">
        <v>43</v>
      </c>
      <c r="E18" s="15"/>
      <c r="F18" s="15"/>
      <c r="G18" s="15"/>
      <c r="H18" s="15"/>
      <c r="I18" s="15"/>
      <c r="J18" s="15"/>
      <c r="K18" s="15"/>
      <c r="L18" s="15"/>
    </row>
    <row r="19" spans="1:17">
      <c r="A19" s="3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</row>
    <row r="20" spans="1:17">
      <c r="A20" s="18" t="s">
        <v>8</v>
      </c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Q20" s="5"/>
    </row>
    <row r="21" spans="1:17">
      <c r="A21" s="3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1:17">
      <c r="A22" s="17" t="s">
        <v>9</v>
      </c>
      <c r="B22" s="17"/>
      <c r="C22" s="17"/>
      <c r="D22" s="17" t="s">
        <v>11</v>
      </c>
      <c r="E22" s="17"/>
      <c r="F22" s="17"/>
      <c r="G22" s="17"/>
      <c r="H22" s="17" t="s">
        <v>18</v>
      </c>
      <c r="I22" s="17"/>
      <c r="J22" s="17"/>
      <c r="K22" s="17"/>
      <c r="L22" s="17"/>
    </row>
    <row r="23" spans="1:17">
      <c r="A23" s="17" t="s">
        <v>19</v>
      </c>
      <c r="B23" s="17"/>
      <c r="C23" s="17"/>
      <c r="D23" s="17" t="s">
        <v>28</v>
      </c>
      <c r="E23" s="17"/>
      <c r="F23" s="17"/>
      <c r="G23" s="17"/>
      <c r="H23" s="21">
        <f>Data!B4 - 0.5</f>
        <v>-0.5</v>
      </c>
      <c r="I23" s="17"/>
      <c r="J23" s="17"/>
      <c r="K23" s="17"/>
      <c r="L23" s="17"/>
    </row>
    <row r="24" spans="1:17">
      <c r="A24" s="17" t="s">
        <v>20</v>
      </c>
      <c r="B24" s="17"/>
      <c r="C24" s="17"/>
      <c r="D24" s="17" t="s">
        <v>28</v>
      </c>
      <c r="E24" s="17"/>
      <c r="F24" s="17"/>
      <c r="G24" s="17"/>
      <c r="H24" s="21">
        <f>Data!C4 - 0.7</f>
        <v>-0.7</v>
      </c>
      <c r="I24" s="17"/>
      <c r="J24" s="17"/>
      <c r="K24" s="17"/>
      <c r="L24" s="17"/>
    </row>
    <row r="25" spans="1:17">
      <c r="A25" s="17" t="s">
        <v>21</v>
      </c>
      <c r="B25" s="17"/>
      <c r="C25" s="17"/>
      <c r="D25" s="17" t="s">
        <v>29</v>
      </c>
      <c r="E25" s="17"/>
      <c r="F25" s="17"/>
      <c r="G25" s="17"/>
      <c r="H25" s="21">
        <f>Data!D4 - 1.1</f>
        <v>-1.1000000000000001</v>
      </c>
      <c r="I25" s="17"/>
      <c r="J25" s="17"/>
      <c r="K25" s="17"/>
      <c r="L25" s="17"/>
    </row>
    <row r="26" spans="1:17">
      <c r="A26" s="17" t="s">
        <v>22</v>
      </c>
      <c r="B26" s="17"/>
      <c r="C26" s="17"/>
      <c r="D26" s="17" t="s">
        <v>29</v>
      </c>
      <c r="E26" s="17"/>
      <c r="F26" s="17"/>
      <c r="G26" s="17"/>
      <c r="H26" s="21">
        <f>Data!E4 - 5</f>
        <v>-5</v>
      </c>
      <c r="I26" s="17"/>
      <c r="J26" s="17"/>
      <c r="K26" s="17"/>
      <c r="L26" s="17"/>
    </row>
    <row r="27" spans="1:17">
      <c r="A27" s="17" t="s">
        <v>23</v>
      </c>
      <c r="B27" s="17"/>
      <c r="C27" s="17"/>
      <c r="D27" s="17" t="s">
        <v>29</v>
      </c>
      <c r="E27" s="17"/>
      <c r="F27" s="17"/>
      <c r="G27" s="17"/>
      <c r="H27" s="21">
        <f>Data!F4 - 30</f>
        <v>-30</v>
      </c>
      <c r="I27" s="17"/>
      <c r="J27" s="17"/>
      <c r="K27" s="17"/>
      <c r="L27" s="17"/>
    </row>
    <row r="28" spans="1:17">
      <c r="A28" s="17" t="s">
        <v>24</v>
      </c>
      <c r="B28" s="17"/>
      <c r="C28" s="17"/>
      <c r="D28" s="17" t="s">
        <v>29</v>
      </c>
      <c r="E28" s="17"/>
      <c r="F28" s="17"/>
      <c r="G28" s="17"/>
      <c r="H28" s="21">
        <f>Data!G4 - 40</f>
        <v>-40</v>
      </c>
      <c r="I28" s="17"/>
      <c r="J28" s="17"/>
      <c r="K28" s="17"/>
      <c r="L28" s="17"/>
    </row>
    <row r="29" spans="1:17">
      <c r="A29" s="17" t="s">
        <v>25</v>
      </c>
      <c r="B29" s="17"/>
      <c r="C29" s="17"/>
      <c r="D29" s="17" t="s">
        <v>29</v>
      </c>
      <c r="E29" s="17"/>
      <c r="F29" s="17"/>
      <c r="G29" s="17"/>
      <c r="H29" s="21">
        <f>Data!H4 - 60</f>
        <v>-60</v>
      </c>
      <c r="I29" s="17"/>
      <c r="J29" s="17"/>
      <c r="K29" s="17"/>
      <c r="L29" s="17"/>
    </row>
    <row r="30" spans="1:17">
      <c r="A30" s="17" t="s">
        <v>26</v>
      </c>
      <c r="B30" s="17"/>
      <c r="C30" s="17"/>
      <c r="D30" s="17" t="s">
        <v>29</v>
      </c>
      <c r="E30" s="17"/>
      <c r="F30" s="17"/>
      <c r="G30" s="17"/>
      <c r="H30" s="21">
        <f>Data!I4 - 300</f>
        <v>-300</v>
      </c>
      <c r="I30" s="17"/>
      <c r="J30" s="17"/>
      <c r="K30" s="17"/>
      <c r="L30" s="17"/>
    </row>
    <row r="31" spans="1:17">
      <c r="A31" s="17" t="s">
        <v>27</v>
      </c>
      <c r="B31" s="17"/>
      <c r="C31" s="17"/>
      <c r="D31" s="17" t="s">
        <v>29</v>
      </c>
      <c r="E31" s="17"/>
      <c r="F31" s="17"/>
      <c r="G31" s="17"/>
      <c r="H31" s="17">
        <f>Data!J4 - 600</f>
        <v>-600</v>
      </c>
      <c r="I31" s="17"/>
      <c r="J31" s="17"/>
      <c r="K31" s="17"/>
      <c r="L31" s="17"/>
    </row>
    <row r="32" spans="1:17">
      <c r="A32" s="6"/>
      <c r="B32" s="4"/>
      <c r="C32" s="4"/>
      <c r="D32" s="4"/>
      <c r="E32" s="4"/>
      <c r="F32" s="4"/>
      <c r="G32" s="4"/>
      <c r="H32" s="6"/>
      <c r="I32" s="4"/>
      <c r="J32" s="4"/>
      <c r="K32" s="4"/>
      <c r="L32" s="4"/>
    </row>
    <row r="33" spans="1:64">
      <c r="A33" s="6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  <row r="34" spans="1:64">
      <c r="A34"/>
      <c r="B34"/>
      <c r="C34"/>
      <c r="D34"/>
      <c r="E34"/>
      <c r="F34"/>
      <c r="G34"/>
      <c r="H34"/>
      <c r="I34"/>
      <c r="J34"/>
      <c r="K34"/>
      <c r="L34"/>
    </row>
    <row r="35" spans="1:64">
      <c r="A35" s="14" t="s">
        <v>10</v>
      </c>
      <c r="B35" s="14"/>
      <c r="C35" s="14"/>
      <c r="D35" s="15" t="str">
        <f>IF(OR(ABS(H23)&gt;0.01,ABS(H24)&gt;0.01,ABS(H25)&gt;0.015,ABS(H26)&gt;0.015,ABS(H27)&gt;0.015,ABS(H28)&gt;0.015,ABS(H29)&gt;0.015,ABS(H30)&gt;0.015,ABS(H31)&gt;0.015), "Fail","Pass")</f>
        <v>Fail</v>
      </c>
      <c r="E35" s="15"/>
      <c r="F35" s="15"/>
      <c r="G35" s="15"/>
      <c r="H35" s="15"/>
      <c r="I35" s="15"/>
      <c r="J35" s="15"/>
      <c r="K35" s="15"/>
      <c r="L35" s="15"/>
    </row>
    <row r="36" spans="1:64">
      <c r="A36"/>
      <c r="B36"/>
      <c r="C36"/>
      <c r="D36"/>
      <c r="E36"/>
      <c r="F36"/>
      <c r="G36"/>
      <c r="H36"/>
      <c r="I36"/>
      <c r="J36"/>
      <c r="K36"/>
      <c r="L36"/>
    </row>
    <row r="37" spans="1:64">
      <c r="A37" s="18" t="str">
        <f>"Calibration officer: "</f>
        <v xml:space="preserve">Calibration officer: </v>
      </c>
      <c r="B37" s="18"/>
      <c r="C37" s="18"/>
      <c r="D37" s="19">
        <f>Data!B14</f>
        <v>0</v>
      </c>
      <c r="E37" s="19"/>
      <c r="F37" s="19"/>
      <c r="G37" s="19"/>
      <c r="H37" s="19"/>
      <c r="I37" s="19"/>
      <c r="J37" s="19"/>
      <c r="K37" s="19"/>
      <c r="L37" s="19"/>
      <c r="BD37"/>
      <c r="BE37"/>
      <c r="BF37"/>
      <c r="BG37"/>
      <c r="BH37"/>
      <c r="BI37"/>
      <c r="BJ37"/>
      <c r="BK37"/>
      <c r="BL37"/>
    </row>
    <row r="39" spans="1:64">
      <c r="A39" s="18" t="str">
        <f>"Calibration date: "</f>
        <v xml:space="preserve">Calibration date: </v>
      </c>
      <c r="B39" s="18"/>
      <c r="C39" s="18"/>
      <c r="D39" s="20">
        <f>Data!B2</f>
        <v>0</v>
      </c>
      <c r="E39" s="20"/>
      <c r="F39" s="20"/>
      <c r="G39" s="20"/>
      <c r="H39" s="20"/>
      <c r="I39" s="20"/>
      <c r="J39" s="20"/>
      <c r="K39" s="20"/>
      <c r="L39" s="20"/>
    </row>
  </sheetData>
  <mergeCells count="62">
    <mergeCell ref="A6:E6"/>
    <mergeCell ref="F6:L6"/>
    <mergeCell ref="A7:E8"/>
    <mergeCell ref="F7:L8"/>
    <mergeCell ref="A1:L3"/>
    <mergeCell ref="A4:E4"/>
    <mergeCell ref="F4:L4"/>
    <mergeCell ref="A5:E5"/>
    <mergeCell ref="F5:L5"/>
    <mergeCell ref="A12:E12"/>
    <mergeCell ref="F12:G12"/>
    <mergeCell ref="H12:L12"/>
    <mergeCell ref="A9:E10"/>
    <mergeCell ref="F9:G10"/>
    <mergeCell ref="A11:E11"/>
    <mergeCell ref="F11:G11"/>
    <mergeCell ref="H9:L10"/>
    <mergeCell ref="H11:L11"/>
    <mergeCell ref="A14:L14"/>
    <mergeCell ref="A16:C16"/>
    <mergeCell ref="D16:L16"/>
    <mergeCell ref="A17:C17"/>
    <mergeCell ref="D17:L17"/>
    <mergeCell ref="A18:C18"/>
    <mergeCell ref="D18:L18"/>
    <mergeCell ref="A20:L20"/>
    <mergeCell ref="A22:C22"/>
    <mergeCell ref="D22:G22"/>
    <mergeCell ref="H22:L22"/>
    <mergeCell ref="A23:C23"/>
    <mergeCell ref="D23:G23"/>
    <mergeCell ref="H23:L23"/>
    <mergeCell ref="A24:C24"/>
    <mergeCell ref="D24:G24"/>
    <mergeCell ref="H24:L24"/>
    <mergeCell ref="A25:C25"/>
    <mergeCell ref="D25:G25"/>
    <mergeCell ref="H25:L25"/>
    <mergeCell ref="A26:C26"/>
    <mergeCell ref="D26:G26"/>
    <mergeCell ref="H26:L26"/>
    <mergeCell ref="A27:C27"/>
    <mergeCell ref="D27:G27"/>
    <mergeCell ref="H27:L27"/>
    <mergeCell ref="A28:C28"/>
    <mergeCell ref="D28:G28"/>
    <mergeCell ref="H28:L28"/>
    <mergeCell ref="A37:C37"/>
    <mergeCell ref="D37:L37"/>
    <mergeCell ref="A39:C39"/>
    <mergeCell ref="D39:L39"/>
    <mergeCell ref="A29:C29"/>
    <mergeCell ref="D29:G29"/>
    <mergeCell ref="H29:L29"/>
    <mergeCell ref="A30:C30"/>
    <mergeCell ref="D30:G30"/>
    <mergeCell ref="H30:L30"/>
    <mergeCell ref="A31:C31"/>
    <mergeCell ref="D31:G31"/>
    <mergeCell ref="H31:L31"/>
    <mergeCell ref="A35:C35"/>
    <mergeCell ref="D35:L35"/>
  </mergeCells>
  <pageMargins left="0.78749999999999998" right="0.78749999999999998" top="0.88611111111111096" bottom="0.88611111111111096" header="0.78749999999999998" footer="0.78749999999999998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39"/>
  <sheetViews>
    <sheetView tabSelected="1" zoomScale="90" zoomScaleNormal="90" workbookViewId="0">
      <selection activeCell="A4" sqref="A4:E4"/>
    </sheetView>
  </sheetViews>
  <sheetFormatPr defaultColWidth="11.5703125" defaultRowHeight="14.25"/>
  <cols>
    <col min="1" max="1" width="7.7109375" style="1" customWidth="1"/>
    <col min="2" max="2" width="9" style="1" customWidth="1"/>
    <col min="3" max="7" width="7.7109375" style="1" customWidth="1"/>
    <col min="8" max="10" width="5.140625" style="1" customWidth="1"/>
    <col min="11" max="11" width="7.7109375" style="1" customWidth="1"/>
    <col min="12" max="12" width="8.85546875" style="1" customWidth="1"/>
    <col min="13" max="64" width="11.5703125" style="1"/>
  </cols>
  <sheetData>
    <row r="1" spans="1:13">
      <c r="A1" s="42" t="str">
        <f>"ELECTRIC STOPWATCH"  &amp; CHAR(10) &amp; " CALIBRATION RECORD" &amp; CHAR(10) &amp; " # " &amp; Data!B8</f>
        <v xml:space="preserve">ELECTRIC STOPWATCH
 CALIBRATION RECORD
 # 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</row>
    <row r="2" spans="1:13">
      <c r="A2" s="42"/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</row>
    <row r="3" spans="1:13">
      <c r="A3" s="42"/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</row>
    <row r="4" spans="1:13">
      <c r="A4" s="23" t="s">
        <v>0</v>
      </c>
      <c r="B4" s="23"/>
      <c r="C4" s="23"/>
      <c r="D4" s="23"/>
      <c r="E4" s="23"/>
      <c r="F4" s="23">
        <f>Data!B9</f>
        <v>0</v>
      </c>
      <c r="G4" s="23"/>
      <c r="H4" s="23"/>
      <c r="I4" s="23"/>
      <c r="J4" s="23"/>
      <c r="K4" s="23"/>
      <c r="L4" s="23"/>
    </row>
    <row r="5" spans="1:13">
      <c r="A5" s="43" t="s">
        <v>40</v>
      </c>
      <c r="B5" s="43"/>
      <c r="C5" s="43"/>
      <c r="D5" s="43"/>
      <c r="E5" s="43"/>
      <c r="F5" s="44">
        <f>Data!B10</f>
        <v>0</v>
      </c>
      <c r="G5" s="23"/>
      <c r="H5" s="23"/>
      <c r="I5" s="23"/>
      <c r="J5" s="23"/>
      <c r="K5" s="23"/>
      <c r="L5" s="23"/>
    </row>
    <row r="6" spans="1:13">
      <c r="A6" s="23" t="s">
        <v>1</v>
      </c>
      <c r="B6" s="23"/>
      <c r="C6" s="23"/>
      <c r="D6" s="23"/>
      <c r="E6" s="23"/>
      <c r="F6" s="23">
        <f>Data!B11</f>
        <v>0</v>
      </c>
      <c r="G6" s="23"/>
      <c r="H6" s="23"/>
      <c r="I6" s="23"/>
      <c r="J6" s="23"/>
      <c r="K6" s="23"/>
      <c r="L6" s="23"/>
    </row>
    <row r="7" spans="1:13" ht="13.9" customHeight="1">
      <c r="A7" s="35" t="s">
        <v>41</v>
      </c>
      <c r="B7" s="35"/>
      <c r="C7" s="35"/>
      <c r="D7" s="35"/>
      <c r="E7" s="35"/>
      <c r="F7" s="36">
        <f>Data!B12</f>
        <v>0</v>
      </c>
      <c r="G7" s="37"/>
      <c r="H7" s="37"/>
      <c r="I7" s="37"/>
      <c r="J7" s="37"/>
      <c r="K7" s="37"/>
      <c r="L7" s="38"/>
      <c r="M7" s="2"/>
    </row>
    <row r="8" spans="1:13">
      <c r="A8" s="35"/>
      <c r="B8" s="35"/>
      <c r="C8" s="35"/>
      <c r="D8" s="35"/>
      <c r="E8" s="35"/>
      <c r="F8" s="39"/>
      <c r="G8" s="40"/>
      <c r="H8" s="40"/>
      <c r="I8" s="40"/>
      <c r="J8" s="40"/>
      <c r="K8" s="40"/>
      <c r="L8" s="41"/>
      <c r="M8" s="2"/>
    </row>
    <row r="9" spans="1:13" ht="13.9" customHeight="1">
      <c r="A9" s="34" t="s">
        <v>2</v>
      </c>
      <c r="B9" s="34"/>
      <c r="C9" s="34"/>
      <c r="D9" s="34"/>
      <c r="E9" s="34"/>
      <c r="F9" s="17" t="s">
        <v>14</v>
      </c>
      <c r="G9" s="17"/>
      <c r="H9" s="24" t="s">
        <v>17</v>
      </c>
      <c r="I9" s="25"/>
      <c r="J9" s="25"/>
      <c r="K9" s="25"/>
      <c r="L9" s="26"/>
    </row>
    <row r="10" spans="1:13">
      <c r="A10" s="34"/>
      <c r="B10" s="34"/>
      <c r="C10" s="34"/>
      <c r="D10" s="34"/>
      <c r="E10" s="34"/>
      <c r="F10" s="17"/>
      <c r="G10" s="17"/>
      <c r="H10" s="27"/>
      <c r="I10" s="28"/>
      <c r="J10" s="28"/>
      <c r="K10" s="28"/>
      <c r="L10" s="29"/>
    </row>
    <row r="11" spans="1:13">
      <c r="A11" s="23" t="s">
        <v>3</v>
      </c>
      <c r="B11" s="23"/>
      <c r="C11" s="23"/>
      <c r="D11" s="23"/>
      <c r="E11" s="23"/>
      <c r="F11" s="17" t="s">
        <v>15</v>
      </c>
      <c r="G11" s="17"/>
      <c r="H11" s="30">
        <f>Data!B15</f>
        <v>0</v>
      </c>
      <c r="I11" s="31"/>
      <c r="J11" s="31"/>
      <c r="K11" s="31"/>
      <c r="L11" s="32"/>
    </row>
    <row r="12" spans="1:13">
      <c r="A12" s="23" t="s">
        <v>4</v>
      </c>
      <c r="B12" s="23"/>
      <c r="C12" s="23"/>
      <c r="D12" s="23"/>
      <c r="E12" s="23"/>
      <c r="F12" s="17" t="s">
        <v>16</v>
      </c>
      <c r="G12" s="17"/>
      <c r="H12" s="33">
        <f>Data!B16</f>
        <v>0</v>
      </c>
      <c r="I12" s="31"/>
      <c r="J12" s="31"/>
      <c r="K12" s="31"/>
      <c r="L12" s="32"/>
    </row>
    <row r="13" spans="1:13">
      <c r="A13" s="3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</row>
    <row r="14" spans="1:13">
      <c r="A14" s="18" t="s">
        <v>5</v>
      </c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</row>
    <row r="15" spans="1:13">
      <c r="A15" s="3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spans="1:13">
      <c r="A16" s="14" t="s">
        <v>6</v>
      </c>
      <c r="B16" s="14"/>
      <c r="C16" s="14"/>
      <c r="D16" s="15" t="s">
        <v>43</v>
      </c>
      <c r="E16" s="15"/>
      <c r="F16" s="15"/>
      <c r="G16" s="15"/>
      <c r="H16" s="15"/>
      <c r="I16" s="15"/>
      <c r="J16" s="15"/>
      <c r="K16" s="15"/>
      <c r="L16" s="15"/>
    </row>
    <row r="17" spans="1:17">
      <c r="A17" s="22"/>
      <c r="B17" s="22"/>
      <c r="C17" s="22"/>
      <c r="D17" s="14"/>
      <c r="E17" s="14"/>
      <c r="F17" s="14"/>
      <c r="G17" s="14"/>
      <c r="H17" s="14"/>
      <c r="I17" s="14"/>
      <c r="J17" s="14"/>
      <c r="K17" s="14"/>
      <c r="L17" s="14"/>
    </row>
    <row r="18" spans="1:17">
      <c r="A18" s="14" t="s">
        <v>7</v>
      </c>
      <c r="B18" s="14"/>
      <c r="C18" s="14"/>
      <c r="D18" s="15" t="s">
        <v>43</v>
      </c>
      <c r="E18" s="15"/>
      <c r="F18" s="15"/>
      <c r="G18" s="15"/>
      <c r="H18" s="15"/>
      <c r="I18" s="15"/>
      <c r="J18" s="15"/>
      <c r="K18" s="15"/>
      <c r="L18" s="15"/>
    </row>
    <row r="19" spans="1:17">
      <c r="A19" s="3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</row>
    <row r="20" spans="1:17">
      <c r="A20" s="18" t="s">
        <v>8</v>
      </c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Q20" s="5"/>
    </row>
    <row r="21" spans="1:17">
      <c r="A21" s="3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1:17">
      <c r="A22" s="17" t="s">
        <v>9</v>
      </c>
      <c r="B22" s="17"/>
      <c r="C22" s="17"/>
      <c r="D22" s="17" t="s">
        <v>11</v>
      </c>
      <c r="E22" s="17"/>
      <c r="F22" s="17"/>
      <c r="G22" s="17"/>
      <c r="H22" s="17" t="s">
        <v>18</v>
      </c>
      <c r="I22" s="17"/>
      <c r="J22" s="17"/>
      <c r="K22" s="17"/>
      <c r="L22" s="17"/>
    </row>
    <row r="23" spans="1:17">
      <c r="A23" s="17" t="s">
        <v>30</v>
      </c>
      <c r="B23" s="17"/>
      <c r="C23" s="17"/>
      <c r="D23" s="17" t="s">
        <v>33</v>
      </c>
      <c r="E23" s="17"/>
      <c r="F23" s="17"/>
      <c r="G23" s="17"/>
      <c r="H23" s="21">
        <f>Data!B4 - 22</f>
        <v>-22</v>
      </c>
      <c r="I23" s="17"/>
      <c r="J23" s="17"/>
      <c r="K23" s="17"/>
      <c r="L23" s="17"/>
    </row>
    <row r="24" spans="1:17">
      <c r="A24" s="17" t="s">
        <v>23</v>
      </c>
      <c r="B24" s="17"/>
      <c r="C24" s="17"/>
      <c r="D24" s="17" t="s">
        <v>33</v>
      </c>
      <c r="E24" s="17"/>
      <c r="F24" s="17"/>
      <c r="G24" s="17"/>
      <c r="H24" s="21">
        <f>Data!C4 - 30</f>
        <v>-30</v>
      </c>
      <c r="I24" s="17"/>
      <c r="J24" s="17"/>
      <c r="K24" s="17"/>
      <c r="L24" s="17"/>
    </row>
    <row r="25" spans="1:17">
      <c r="A25" s="17" t="s">
        <v>25</v>
      </c>
      <c r="B25" s="17"/>
      <c r="C25" s="17"/>
      <c r="D25" s="17" t="s">
        <v>33</v>
      </c>
      <c r="E25" s="17"/>
      <c r="F25" s="17"/>
      <c r="G25" s="17"/>
      <c r="H25" s="21">
        <f>Data!D4 - 60</f>
        <v>-60</v>
      </c>
      <c r="I25" s="17"/>
      <c r="J25" s="17"/>
      <c r="K25" s="17"/>
      <c r="L25" s="17"/>
    </row>
    <row r="26" spans="1:17">
      <c r="A26" s="17" t="s">
        <v>26</v>
      </c>
      <c r="B26" s="17"/>
      <c r="C26" s="17"/>
      <c r="D26" s="17" t="s">
        <v>33</v>
      </c>
      <c r="E26" s="17"/>
      <c r="F26" s="17"/>
      <c r="G26" s="17"/>
      <c r="H26" s="21">
        <f>Data!E4 - 300</f>
        <v>-300</v>
      </c>
      <c r="I26" s="17"/>
      <c r="J26" s="17"/>
      <c r="K26" s="17"/>
      <c r="L26" s="17"/>
    </row>
    <row r="27" spans="1:17">
      <c r="A27" s="17" t="s">
        <v>27</v>
      </c>
      <c r="B27" s="17"/>
      <c r="C27" s="17"/>
      <c r="D27" s="17" t="s">
        <v>33</v>
      </c>
      <c r="E27" s="17"/>
      <c r="F27" s="17"/>
      <c r="G27" s="17"/>
      <c r="H27" s="21">
        <f>Data!F4 - 600</f>
        <v>-600</v>
      </c>
      <c r="I27" s="17"/>
      <c r="J27" s="17"/>
      <c r="K27" s="17"/>
      <c r="L27" s="17"/>
    </row>
    <row r="28" spans="1:17">
      <c r="A28" s="17" t="s">
        <v>31</v>
      </c>
      <c r="B28" s="17"/>
      <c r="C28" s="17"/>
      <c r="D28" s="17" t="s">
        <v>33</v>
      </c>
      <c r="E28" s="17"/>
      <c r="F28" s="17"/>
      <c r="G28" s="17"/>
      <c r="H28" s="21">
        <f>Data!G4 - 900</f>
        <v>-900</v>
      </c>
      <c r="I28" s="17"/>
      <c r="J28" s="17"/>
      <c r="K28" s="17"/>
      <c r="L28" s="17"/>
    </row>
    <row r="29" spans="1:17">
      <c r="A29" s="17" t="s">
        <v>32</v>
      </c>
      <c r="B29" s="17"/>
      <c r="C29" s="17"/>
      <c r="D29" s="17" t="s">
        <v>33</v>
      </c>
      <c r="E29" s="17"/>
      <c r="F29" s="17"/>
      <c r="G29" s="17"/>
      <c r="H29" s="21">
        <f>Data!H4 - 1200</f>
        <v>-1200</v>
      </c>
      <c r="I29" s="17"/>
      <c r="J29" s="17"/>
      <c r="K29" s="17"/>
      <c r="L29" s="17"/>
    </row>
    <row r="30" spans="1:17">
      <c r="A30" s="6"/>
      <c r="B30" s="4"/>
      <c r="C30" s="4"/>
      <c r="D30" s="4"/>
      <c r="E30" s="4"/>
      <c r="F30" s="4"/>
      <c r="G30" s="4"/>
      <c r="H30" s="6"/>
      <c r="I30" s="4"/>
      <c r="J30" s="4"/>
      <c r="K30" s="4"/>
      <c r="L30" s="4"/>
    </row>
    <row r="31" spans="1:17">
      <c r="A31" s="6"/>
      <c r="B31" s="4"/>
      <c r="C31" s="4"/>
      <c r="D31" s="4"/>
      <c r="E31" s="4"/>
      <c r="F31" s="4"/>
      <c r="G31" s="4"/>
      <c r="H31" s="6"/>
      <c r="I31" s="4"/>
      <c r="J31" s="4"/>
      <c r="K31" s="4"/>
      <c r="L31" s="4"/>
    </row>
    <row r="32" spans="1:17">
      <c r="A32" s="6"/>
      <c r="B32" s="4"/>
      <c r="C32" s="4"/>
      <c r="D32" s="4"/>
      <c r="E32" s="4"/>
      <c r="F32" s="4"/>
      <c r="G32" s="4"/>
      <c r="H32" s="6"/>
      <c r="I32" s="4"/>
      <c r="J32" s="4"/>
      <c r="K32" s="4"/>
      <c r="L32" s="4"/>
    </row>
    <row r="33" spans="1:12">
      <c r="A33" s="6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  <row r="34" spans="1:12">
      <c r="A34"/>
      <c r="B34"/>
      <c r="C34"/>
      <c r="D34"/>
      <c r="E34"/>
      <c r="F34"/>
      <c r="G34"/>
      <c r="H34"/>
      <c r="I34"/>
      <c r="J34"/>
      <c r="K34"/>
      <c r="L34"/>
    </row>
    <row r="35" spans="1:12">
      <c r="A35" s="14" t="s">
        <v>10</v>
      </c>
      <c r="B35" s="14"/>
      <c r="C35" s="14"/>
      <c r="D35" s="15" t="str">
        <f>IF(OR(ABS(H23)&gt;0.1,ABS(H24)&gt;0.1,ABS(H25)&gt;0.1,ABS(H26)&gt;0.1,ABS(H27)&gt;0.1,ABS(H28)&gt;0.1,ABS(H29)&gt;0.1), "Fail","Pass")</f>
        <v>Fail</v>
      </c>
      <c r="E35" s="15"/>
      <c r="F35" s="15"/>
      <c r="G35" s="15"/>
      <c r="H35" s="15"/>
      <c r="I35" s="15"/>
      <c r="J35" s="15"/>
      <c r="K35" s="15"/>
      <c r="L35" s="15"/>
    </row>
    <row r="36" spans="1:12">
      <c r="A36"/>
      <c r="B36"/>
      <c r="C36"/>
      <c r="D36"/>
      <c r="E36"/>
      <c r="F36"/>
      <c r="G36"/>
      <c r="H36"/>
      <c r="I36"/>
      <c r="J36"/>
      <c r="K36"/>
      <c r="L36"/>
    </row>
    <row r="37" spans="1:12">
      <c r="A37" s="18" t="str">
        <f>"Calibration officer: "</f>
        <v xml:space="preserve">Calibration officer: </v>
      </c>
      <c r="B37" s="18"/>
      <c r="C37" s="18"/>
      <c r="D37" s="19">
        <f>Data!B14</f>
        <v>0</v>
      </c>
      <c r="E37" s="19"/>
      <c r="F37" s="19"/>
      <c r="G37" s="19"/>
      <c r="H37" s="19"/>
      <c r="I37" s="19"/>
      <c r="J37" s="19"/>
      <c r="K37" s="19"/>
      <c r="L37" s="19"/>
    </row>
    <row r="39" spans="1:12">
      <c r="A39" s="18" t="str">
        <f>"Calibration date: "</f>
        <v xml:space="preserve">Calibration date: </v>
      </c>
      <c r="B39" s="18"/>
      <c r="C39" s="18"/>
      <c r="D39" s="20">
        <f>Data!B2</f>
        <v>0</v>
      </c>
      <c r="E39" s="20"/>
      <c r="F39" s="20"/>
      <c r="G39" s="20"/>
      <c r="H39" s="20"/>
      <c r="I39" s="20"/>
      <c r="J39" s="20"/>
      <c r="K39" s="20"/>
      <c r="L39" s="20"/>
    </row>
  </sheetData>
  <mergeCells count="56">
    <mergeCell ref="A6:E6"/>
    <mergeCell ref="F6:L6"/>
    <mergeCell ref="A7:E8"/>
    <mergeCell ref="F7:L8"/>
    <mergeCell ref="A1:L3"/>
    <mergeCell ref="A4:E4"/>
    <mergeCell ref="F4:L4"/>
    <mergeCell ref="A5:E5"/>
    <mergeCell ref="F5:L5"/>
    <mergeCell ref="A12:E12"/>
    <mergeCell ref="F12:G12"/>
    <mergeCell ref="H12:L12"/>
    <mergeCell ref="A9:E10"/>
    <mergeCell ref="F9:G10"/>
    <mergeCell ref="A11:E11"/>
    <mergeCell ref="F11:G11"/>
    <mergeCell ref="H9:L10"/>
    <mergeCell ref="H11:L11"/>
    <mergeCell ref="A14:L14"/>
    <mergeCell ref="A16:C16"/>
    <mergeCell ref="D16:L16"/>
    <mergeCell ref="A17:C17"/>
    <mergeCell ref="D17:L17"/>
    <mergeCell ref="A18:C18"/>
    <mergeCell ref="D18:L18"/>
    <mergeCell ref="A20:L20"/>
    <mergeCell ref="A22:C22"/>
    <mergeCell ref="D22:G22"/>
    <mergeCell ref="H22:L22"/>
    <mergeCell ref="A23:C23"/>
    <mergeCell ref="D23:G23"/>
    <mergeCell ref="H23:L23"/>
    <mergeCell ref="A24:C24"/>
    <mergeCell ref="D24:G24"/>
    <mergeCell ref="H24:L24"/>
    <mergeCell ref="A25:C25"/>
    <mergeCell ref="D25:G25"/>
    <mergeCell ref="H25:L25"/>
    <mergeCell ref="A26:C26"/>
    <mergeCell ref="D26:G26"/>
    <mergeCell ref="H26:L26"/>
    <mergeCell ref="A37:C37"/>
    <mergeCell ref="D37:L37"/>
    <mergeCell ref="A39:C39"/>
    <mergeCell ref="D39:L39"/>
    <mergeCell ref="A27:C27"/>
    <mergeCell ref="D27:G27"/>
    <mergeCell ref="H27:L27"/>
    <mergeCell ref="A28:C28"/>
    <mergeCell ref="D28:G28"/>
    <mergeCell ref="H28:L28"/>
    <mergeCell ref="A29:C29"/>
    <mergeCell ref="D29:G29"/>
    <mergeCell ref="H29:L29"/>
    <mergeCell ref="A35:C35"/>
    <mergeCell ref="D35:L35"/>
  </mergeCells>
  <pageMargins left="0.78749999999999998" right="0.78749999999999998" top="0.88611111111111096" bottom="0.88611111111111096" header="0.78749999999999998" footer="0.78749999999999998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23"/>
  <sheetViews>
    <sheetView zoomScale="90" zoomScaleNormal="90" workbookViewId="0">
      <selection activeCell="F21" sqref="F21"/>
    </sheetView>
  </sheetViews>
  <sheetFormatPr defaultColWidth="25.5703125" defaultRowHeight="15.75"/>
  <cols>
    <col min="1" max="1" width="26.42578125" style="7" customWidth="1"/>
    <col min="2" max="64" width="25.5703125" style="8"/>
    <col min="65" max="16384" width="25.5703125" style="10"/>
  </cols>
  <sheetData>
    <row r="1" spans="1:64" s="11" customFormat="1">
      <c r="A1" s="7" t="s">
        <v>42</v>
      </c>
      <c r="B1" s="9" t="s">
        <v>38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</row>
    <row r="2" spans="1:64" s="13" customFormat="1">
      <c r="A2" s="7" t="s">
        <v>34</v>
      </c>
      <c r="B2" s="12">
        <v>0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</row>
    <row r="3" spans="1:64" s="11" customFormat="1">
      <c r="A3" s="7" t="s">
        <v>35</v>
      </c>
      <c r="B3" s="9" t="s">
        <v>38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</row>
    <row r="4" spans="1:64" s="11" customFormat="1">
      <c r="A4" s="7" t="s">
        <v>36</v>
      </c>
      <c r="B4" s="9" t="s">
        <v>38</v>
      </c>
      <c r="C4" s="9"/>
      <c r="D4" s="9"/>
      <c r="E4" s="9"/>
      <c r="F4" s="9"/>
      <c r="G4" s="9"/>
      <c r="H4" s="9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</row>
    <row r="5" spans="1:64" s="11" customFormat="1">
      <c r="A5" s="7" t="s">
        <v>37</v>
      </c>
      <c r="B5" s="8">
        <v>0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</row>
    <row r="8" spans="1:64">
      <c r="B8" s="9"/>
    </row>
    <row r="10" spans="1:64">
      <c r="B10" s="9"/>
    </row>
    <row r="16" spans="1:64">
      <c r="B16" s="9"/>
    </row>
    <row r="18" spans="2:2">
      <c r="B18" s="9"/>
    </row>
    <row r="19" spans="2:2">
      <c r="B19" s="9"/>
    </row>
    <row r="21" spans="2:2">
      <c r="B21" s="9"/>
    </row>
    <row r="23" spans="2:2">
      <c r="B23" s="9"/>
    </row>
  </sheetData>
  <pageMargins left="0.78749999999999998" right="0.78749999999999998" top="0.88611111111111096" bottom="0.88611111111111096" header="0.78749999999999998" footer="0.78749999999999998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4"/>
  <sheetViews>
    <sheetView zoomScale="90" zoomScaleNormal="90" workbookViewId="0">
      <selection sqref="A1:P34"/>
    </sheetView>
  </sheetViews>
  <sheetFormatPr defaultColWidth="11.5703125" defaultRowHeight="12.75"/>
  <sheetData>
    <row r="1" spans="1:16" ht="12.75" customHeight="1">
      <c r="A1" s="47" t="s">
        <v>39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</row>
    <row r="2" spans="1:16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</row>
    <row r="3" spans="1:16">
      <c r="A3" s="47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</row>
    <row r="4" spans="1:16">
      <c r="A4" s="47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</row>
    <row r="5" spans="1:16">
      <c r="A5" s="47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</row>
    <row r="6" spans="1:16">
      <c r="A6" s="47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</row>
    <row r="7" spans="1:16">
      <c r="A7" s="47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</row>
    <row r="8" spans="1:16">
      <c r="A8" s="47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</row>
    <row r="9" spans="1:16">
      <c r="A9" s="47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</row>
    <row r="10" spans="1:16">
      <c r="A10" s="47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</row>
    <row r="11" spans="1:16">
      <c r="A11" s="47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</row>
    <row r="12" spans="1:16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</row>
    <row r="13" spans="1:16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</row>
    <row r="14" spans="1:16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</row>
    <row r="15" spans="1:16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</row>
    <row r="16" spans="1:16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</row>
    <row r="17" spans="1:16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</row>
    <row r="18" spans="1:16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</row>
    <row r="19" spans="1:16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</row>
    <row r="20" spans="1:16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</row>
    <row r="21" spans="1:16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</row>
    <row r="22" spans="1:16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</row>
    <row r="23" spans="1:16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</row>
    <row r="24" spans="1:16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</row>
    <row r="25" spans="1:16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</row>
    <row r="26" spans="1:16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</row>
    <row r="27" spans="1:16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</row>
    <row r="28" spans="1:16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</row>
    <row r="29" spans="1:16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</row>
    <row r="30" spans="1:16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</row>
    <row r="31" spans="1:16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</row>
    <row r="32" spans="1:16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</row>
    <row r="33" spans="1:16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</row>
    <row r="34" spans="1:16">
      <c r="A34" s="47"/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</row>
  </sheetData>
  <mergeCells count="1">
    <mergeCell ref="A1:P34"/>
  </mergeCells>
  <pageMargins left="0.78749999999999998" right="0.78749999999999998" top="0.88611111111111096" bottom="0.88611111111111096" header="0.78749999999999998" footer="0.78749999999999998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182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(1-10) s</vt:lpstr>
      <vt:lpstr>0.1 s - 10 min</vt:lpstr>
      <vt:lpstr>(0.3 -20) min</vt:lpstr>
      <vt:lpstr>Data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503</cp:lastModifiedBy>
  <dcterms:modified xsi:type="dcterms:W3CDTF">2021-09-06T07:16:54Z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2017-10-20T23:41:04Z</dcterms:created>
  <dc:creator/>
  <dc:description/>
  <dc:language>ru-RU</dc:language>
  <cp:lastModifiedBy/>
  <dcterms:modified xsi:type="dcterms:W3CDTF">2019-07-03T16:54:36Z</dcterms:modified>
  <cp:revision>56</cp:revision>
  <dc:subject/>
  <dc:title/>
</cp:coreProperties>
</file>