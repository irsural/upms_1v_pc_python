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03\Desktop\templates\"/>
    </mc:Choice>
  </mc:AlternateContent>
  <bookViews>
    <workbookView xWindow="0" yWindow="0" windowWidth="16380" windowHeight="8190" tabRatio="500" activeTab="2"/>
  </bookViews>
  <sheets>
    <sheet name="ГОСТ 8.423-81" sheetId="1" r:id="rId1"/>
    <sheet name="ГОСТ 8.423-81 (2)" sheetId="2" r:id="rId2"/>
    <sheet name="Данные" sheetId="3" r:id="rId3"/>
    <sheet name="Справка" sheetId="5" r:id="rId4"/>
  </sheets>
  <calcPr calcId="162913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43" i="2" l="1"/>
  <c r="A39" i="2"/>
  <c r="B37" i="2"/>
  <c r="F37" i="2" s="1"/>
  <c r="I35" i="2"/>
  <c r="H35" i="2"/>
  <c r="G35" i="2"/>
  <c r="E35" i="2"/>
  <c r="D35" i="2"/>
  <c r="F35" i="2" s="1"/>
  <c r="C35" i="2"/>
  <c r="B35" i="2"/>
  <c r="B26" i="2"/>
  <c r="F26" i="2" s="1"/>
  <c r="G24" i="2"/>
  <c r="H24" i="2" s="1"/>
  <c r="E24" i="2"/>
  <c r="D24" i="2"/>
  <c r="C24" i="2"/>
  <c r="F24" i="2" s="1"/>
  <c r="B24" i="2"/>
  <c r="A15" i="2"/>
  <c r="A13" i="2"/>
  <c r="A11" i="2"/>
  <c r="A9" i="2"/>
  <c r="A7" i="2"/>
  <c r="A46" i="1"/>
  <c r="A44" i="1"/>
  <c r="B39" i="1"/>
  <c r="E39" i="1" s="1"/>
  <c r="G38" i="1"/>
  <c r="I38" i="1" s="1"/>
  <c r="E38" i="1"/>
  <c r="D38" i="1"/>
  <c r="C38" i="1"/>
  <c r="F38" i="1" s="1"/>
  <c r="B38" i="1"/>
  <c r="B33" i="1"/>
  <c r="E33" i="1" s="1"/>
  <c r="J32" i="1"/>
  <c r="G32" i="1"/>
  <c r="I32" i="1" s="1"/>
  <c r="E32" i="1"/>
  <c r="D32" i="1"/>
  <c r="C32" i="1"/>
  <c r="F32" i="1" s="1"/>
  <c r="B32" i="1"/>
  <c r="D22" i="1"/>
  <c r="D20" i="1"/>
  <c r="K16" i="1"/>
  <c r="H16" i="1"/>
  <c r="K15" i="1"/>
  <c r="H15" i="1"/>
  <c r="K14" i="1"/>
  <c r="H14" i="1"/>
  <c r="K13" i="1"/>
  <c r="H13" i="1"/>
  <c r="K12" i="1"/>
  <c r="H12" i="1"/>
  <c r="F8" i="1"/>
  <c r="F6" i="1"/>
  <c r="F5" i="1"/>
  <c r="F4" i="1"/>
  <c r="A1" i="1"/>
  <c r="J35" i="2" l="1"/>
  <c r="F33" i="1"/>
  <c r="F39" i="1"/>
  <c r="J24" i="2"/>
  <c r="K35" i="2"/>
  <c r="L35" i="2" s="1"/>
  <c r="K38" i="1"/>
  <c r="L38" i="1" s="1"/>
  <c r="C26" i="2"/>
  <c r="C37" i="2"/>
  <c r="D33" i="1"/>
  <c r="I24" i="2"/>
  <c r="K24" i="2" s="1"/>
  <c r="L24" i="2" s="1"/>
  <c r="D26" i="2"/>
  <c r="D37" i="2"/>
  <c r="E26" i="2"/>
  <c r="E37" i="2"/>
  <c r="H32" i="1"/>
  <c r="H38" i="1"/>
  <c r="J38" i="1"/>
  <c r="C33" i="1"/>
  <c r="C39" i="1"/>
  <c r="D39" i="1"/>
  <c r="K32" i="1" l="1"/>
  <c r="L32" i="1"/>
</calcChain>
</file>

<file path=xl/sharedStrings.xml><?xml version="1.0" encoding="utf-8"?>
<sst xmlns="http://schemas.openxmlformats.org/spreadsheetml/2006/main" count="80" uniqueCount="46">
  <si>
    <t>Наименование, тип:</t>
  </si>
  <si>
    <t>Заводской номер:</t>
  </si>
  <si>
    <t>Принадлежность:</t>
  </si>
  <si>
    <t>НТД по поверке:</t>
  </si>
  <si>
    <t>ГОСТ 8.423-81</t>
  </si>
  <si>
    <t>Применяемые эталоны:
(средства измерений)</t>
  </si>
  <si>
    <t>Условия поверки:</t>
  </si>
  <si>
    <t>Допуск</t>
  </si>
  <si>
    <t>Измеренное значение</t>
  </si>
  <si>
    <t>Средство контроля</t>
  </si>
  <si>
    <t xml:space="preserve">температура,°C </t>
  </si>
  <si>
    <t>15...25</t>
  </si>
  <si>
    <t>влажность, %</t>
  </si>
  <si>
    <t>50...80</t>
  </si>
  <si>
    <t>давление, мм рт.ст.</t>
  </si>
  <si>
    <t>630...795</t>
  </si>
  <si>
    <t>напряжение сети питания, В</t>
  </si>
  <si>
    <t>198,0...242,0</t>
  </si>
  <si>
    <t>частота сети питания, Гц</t>
  </si>
  <si>
    <t>49,0...51,0</t>
  </si>
  <si>
    <t>Операции поверки:</t>
  </si>
  <si>
    <t>1. Внешний осмотр:</t>
  </si>
  <si>
    <t>2. Опробование:</t>
  </si>
  <si>
    <t>3. Определение метрологических характеристик</t>
  </si>
  <si>
    <t xml:space="preserve">
№ измерений</t>
  </si>
  <si>
    <t>Циферблатом вверх</t>
  </si>
  <si>
    <t>Погрешность измерений при интервалах времени 3 мин, 30 или 60 с.</t>
  </si>
  <si>
    <t>Погрешность измерений при интервалах времени 30 или 60 мин</t>
  </si>
  <si>
    <r>
      <rPr>
        <sz val="11"/>
        <rFont val="Arial"/>
        <charset val="204"/>
      </rPr>
      <t>τ</t>
    </r>
    <r>
      <rPr>
        <vertAlign val="subscript"/>
        <sz val="11"/>
        <rFont val="Arial"/>
        <charset val="204"/>
      </rPr>
      <t>д</t>
    </r>
    <r>
      <rPr>
        <sz val="11"/>
        <rFont val="Arial"/>
        <charset val="204"/>
      </rPr>
      <t>, с</t>
    </r>
  </si>
  <si>
    <r>
      <rPr>
        <sz val="11"/>
        <rFont val="Arial"/>
        <family val="2"/>
        <charset val="204"/>
      </rPr>
      <t>Δ</t>
    </r>
    <r>
      <rPr>
        <vertAlign val="subscript"/>
        <sz val="11"/>
        <rFont val="Arial"/>
        <family val="2"/>
        <charset val="204"/>
      </rPr>
      <t>t</t>
    </r>
    <r>
      <rPr>
        <sz val="11"/>
        <rFont val="Arial"/>
        <family val="2"/>
        <charset val="204"/>
      </rPr>
      <t>, с</t>
    </r>
  </si>
  <si>
    <r>
      <rPr>
        <sz val="11"/>
        <rFont val="Arial"/>
        <family val="2"/>
        <charset val="204"/>
      </rPr>
      <t>Δ</t>
    </r>
    <r>
      <rPr>
        <vertAlign val="subscript"/>
        <sz val="11"/>
        <rFont val="Arial"/>
        <family val="2"/>
        <charset val="204"/>
      </rPr>
      <t>tmax</t>
    </r>
    <r>
      <rPr>
        <sz val="11"/>
        <rFont val="Arial"/>
        <family val="2"/>
        <charset val="204"/>
      </rPr>
      <t>, с</t>
    </r>
  </si>
  <si>
    <r>
      <rPr>
        <sz val="11"/>
        <rFont val="Arial"/>
        <charset val="204"/>
      </rPr>
      <t>τ</t>
    </r>
    <r>
      <rPr>
        <vertAlign val="subscript"/>
        <sz val="11"/>
        <rFont val="Arial"/>
        <charset val="204"/>
      </rPr>
      <t>д</t>
    </r>
    <r>
      <rPr>
        <sz val="11"/>
        <rFont val="Arial"/>
        <charset val="204"/>
      </rPr>
      <t>,  мин, с</t>
    </r>
  </si>
  <si>
    <r>
      <rPr>
        <sz val="11"/>
        <rFont val="Arial"/>
        <family val="2"/>
        <charset val="204"/>
      </rPr>
      <t>Δ</t>
    </r>
    <r>
      <rPr>
        <vertAlign val="subscript"/>
        <sz val="11"/>
        <rFont val="Arial"/>
        <charset val="204"/>
      </rPr>
      <t>ср</t>
    </r>
    <r>
      <rPr>
        <sz val="11"/>
        <rFont val="Arial"/>
        <charset val="204"/>
      </rPr>
      <t>, с</t>
    </r>
  </si>
  <si>
    <t>Е, с</t>
  </si>
  <si>
    <t>Кнопкой управления вверх</t>
  </si>
  <si>
    <t>Результаты поверки:</t>
  </si>
  <si>
    <t>Брак/Годен</t>
  </si>
  <si>
    <t>ПРОТОКОЛ ПОВЕРКИ СЕКУНДОМЕРА</t>
  </si>
  <si>
    <t>Номер измерения</t>
  </si>
  <si>
    <t>0</t>
  </si>
  <si>
    <t>Дата</t>
  </si>
  <si>
    <t>Интервал измерения</t>
  </si>
  <si>
    <t>Результат</t>
  </si>
  <si>
    <t>Комментарий</t>
  </si>
  <si>
    <t>Положение секундомера</t>
  </si>
  <si>
    <t xml:space="preserve">Для корректной вставки результатов измерений в поля отчета необходимо проводить измерения в следующем порядке:
1. Короткий интервал, измерение 1 (горизонтально)
2. Длинный интервал, измерение 1 (горизонтально)
3. Короткий интервал, измерение 1 (вертикально)
4. Длинный интервал, измерение 1 (вертикально)
5. Короткий интервал, измерение 2 (горизонтально)
6. Длинный интервал, измерение 2 (горизонтально)
7. Короткий интервал, измерение 2 (вертикально)
8. Длинный интервал, измерение 2 (вертикально)
9. Короткий интервал, измерение 3 (горизонтально)
10. Длинный интервал, измерение 3 (горизонтально)
11. Короткий интервал, измерение 3 (вертикально)
12. Длинный интервал, измерение 3 (вертикально)
Для автоматической генерации данной последовательности измерений в установке необходимо выставить следующие параметры:
Интервал №1: короткий интервал
Интервал №2: длинный интервал
Автоматический режим: Вкл
Поверять горизонтально: Вкл
Поверять вертикально: Вкл
Кол-во повтор. в авто реж.: 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</si>
</sst>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ИСТИНА&quot;;&quot;ИСТИНА&quot;;&quot;ЛОЖЬ&quot;"/>
  </numFmts>
  <fonts count="11">
    <font>
      <sz val="10"/>
      <name val="Arial"/>
      <family val="2"/>
      <charset val="204"/>
    </font>
    <font>
      <sz val="10"/>
      <color rgb="FF000000"/>
      <name val="Mang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charset val="204"/>
    </font>
    <font>
      <vertAlign val="subscript"/>
      <sz val="11"/>
      <name val="Arial"/>
      <charset val="204"/>
    </font>
    <font>
      <vertAlign val="subscript"/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5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center"/>
    </xf>
  </cellXfs>
  <cellStyles count="2">
    <cellStyle name="Заголовок" xfId="1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90" zoomScaleNormal="90" workbookViewId="0">
      <selection activeCell="G41" sqref="G41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13">
      <c r="A1" s="32" t="str">
        <f>"ПРОТОКОЛ ПОВЕРКИ"  &amp; CHAR(10) &amp; "СЕКУНДОМЕРА МЕХАНИЧЕСКОГО" &amp; CHAR(10) &amp; "№ " &amp; Данные!B8</f>
        <v xml:space="preserve">ПРОТОКОЛ ПОВЕРКИ
СЕКУНДОМЕРА МЕХАНИЧЕСКОГО
№ 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>
      <c r="A4" s="26" t="s">
        <v>0</v>
      </c>
      <c r="B4" s="26"/>
      <c r="C4" s="26"/>
      <c r="D4" s="26"/>
      <c r="E4" s="26"/>
      <c r="F4" s="26">
        <f>Данные!B9</f>
        <v>0</v>
      </c>
      <c r="G4" s="26"/>
      <c r="H4" s="26"/>
      <c r="I4" s="26"/>
      <c r="J4" s="26"/>
      <c r="K4" s="26"/>
      <c r="L4" s="26"/>
    </row>
    <row r="5" spans="1:13">
      <c r="A5" s="29" t="s">
        <v>1</v>
      </c>
      <c r="B5" s="29"/>
      <c r="C5" s="29"/>
      <c r="D5" s="29"/>
      <c r="E5" s="29"/>
      <c r="F5" s="26">
        <f>Данные!B10</f>
        <v>0</v>
      </c>
      <c r="G5" s="26"/>
      <c r="H5" s="26"/>
      <c r="I5" s="26"/>
      <c r="J5" s="26"/>
      <c r="K5" s="26"/>
      <c r="L5" s="26"/>
    </row>
    <row r="6" spans="1:13">
      <c r="A6" s="26" t="s">
        <v>2</v>
      </c>
      <c r="B6" s="26"/>
      <c r="C6" s="26"/>
      <c r="D6" s="26"/>
      <c r="E6" s="26"/>
      <c r="F6" s="26">
        <f>Данные!B11</f>
        <v>0</v>
      </c>
      <c r="G6" s="26"/>
      <c r="H6" s="26"/>
      <c r="I6" s="26"/>
      <c r="J6" s="26"/>
      <c r="K6" s="26"/>
      <c r="L6" s="26"/>
    </row>
    <row r="7" spans="1:13">
      <c r="A7" s="29" t="s">
        <v>3</v>
      </c>
      <c r="B7" s="29"/>
      <c r="C7" s="29"/>
      <c r="D7" s="29"/>
      <c r="E7" s="29"/>
      <c r="F7" s="30" t="s">
        <v>4</v>
      </c>
      <c r="G7" s="30"/>
      <c r="H7" s="30"/>
      <c r="I7" s="30"/>
      <c r="J7" s="30"/>
      <c r="K7" s="30"/>
      <c r="L7" s="30"/>
    </row>
    <row r="8" spans="1:13" ht="13.9" customHeight="1">
      <c r="A8" s="31" t="s">
        <v>5</v>
      </c>
      <c r="B8" s="31"/>
      <c r="C8" s="31"/>
      <c r="D8" s="31"/>
      <c r="E8" s="31"/>
      <c r="F8" s="26">
        <f>Данные!B12</f>
        <v>0</v>
      </c>
      <c r="G8" s="26"/>
      <c r="H8" s="26"/>
      <c r="I8" s="26"/>
      <c r="J8" s="26"/>
      <c r="K8" s="26"/>
      <c r="L8" s="26"/>
      <c r="M8" s="2"/>
    </row>
    <row r="9" spans="1:13">
      <c r="A9" s="31"/>
      <c r="B9" s="31"/>
      <c r="C9" s="31"/>
      <c r="D9" s="31"/>
      <c r="E9" s="31"/>
      <c r="F9" s="26"/>
      <c r="G9" s="26"/>
      <c r="H9" s="26"/>
      <c r="I9" s="26"/>
      <c r="J9" s="26"/>
      <c r="K9" s="26"/>
      <c r="L9" s="26"/>
      <c r="M9" s="2"/>
    </row>
    <row r="10" spans="1:13" ht="13.9" customHeight="1">
      <c r="A10" s="27" t="s">
        <v>6</v>
      </c>
      <c r="B10" s="27"/>
      <c r="C10" s="27"/>
      <c r="D10" s="27"/>
      <c r="E10" s="27"/>
      <c r="F10" s="20" t="s">
        <v>7</v>
      </c>
      <c r="G10" s="20"/>
      <c r="H10" s="28" t="s">
        <v>8</v>
      </c>
      <c r="I10" s="28"/>
      <c r="J10" s="28"/>
      <c r="K10" s="28" t="s">
        <v>9</v>
      </c>
      <c r="L10" s="28"/>
    </row>
    <row r="11" spans="1:13">
      <c r="A11" s="27"/>
      <c r="B11" s="27"/>
      <c r="C11" s="27"/>
      <c r="D11" s="27"/>
      <c r="E11" s="27"/>
      <c r="F11" s="20"/>
      <c r="G11" s="20"/>
      <c r="H11" s="28"/>
      <c r="I11" s="28"/>
      <c r="J11" s="28"/>
      <c r="K11" s="28"/>
      <c r="L11" s="28"/>
    </row>
    <row r="12" spans="1:13">
      <c r="A12" s="26" t="s">
        <v>10</v>
      </c>
      <c r="B12" s="26"/>
      <c r="C12" s="26"/>
      <c r="D12" s="26"/>
      <c r="E12" s="26"/>
      <c r="F12" s="20" t="s">
        <v>11</v>
      </c>
      <c r="G12" s="20"/>
      <c r="H12" s="20">
        <f>Данные!B15</f>
        <v>0</v>
      </c>
      <c r="I12" s="20"/>
      <c r="J12" s="20"/>
      <c r="K12" s="20">
        <f>Данные!B16</f>
        <v>0</v>
      </c>
      <c r="L12" s="20"/>
    </row>
    <row r="13" spans="1:13">
      <c r="A13" s="26" t="s">
        <v>12</v>
      </c>
      <c r="B13" s="26"/>
      <c r="C13" s="26"/>
      <c r="D13" s="26"/>
      <c r="E13" s="26"/>
      <c r="F13" s="20" t="s">
        <v>13</v>
      </c>
      <c r="G13" s="20"/>
      <c r="H13" s="20">
        <f>Данные!B17</f>
        <v>0</v>
      </c>
      <c r="I13" s="20"/>
      <c r="J13" s="20"/>
      <c r="K13" s="20">
        <f>Данные!B18</f>
        <v>0</v>
      </c>
      <c r="L13" s="20"/>
    </row>
    <row r="14" spans="1:13">
      <c r="A14" s="26" t="s">
        <v>14</v>
      </c>
      <c r="B14" s="26"/>
      <c r="C14" s="26"/>
      <c r="D14" s="26"/>
      <c r="E14" s="26"/>
      <c r="F14" s="20" t="s">
        <v>15</v>
      </c>
      <c r="G14" s="20"/>
      <c r="H14" s="20">
        <f>Данные!B19</f>
        <v>0</v>
      </c>
      <c r="I14" s="20"/>
      <c r="J14" s="20"/>
      <c r="K14" s="20">
        <f>Данные!B20</f>
        <v>0</v>
      </c>
      <c r="L14" s="20"/>
    </row>
    <row r="15" spans="1:13">
      <c r="A15" s="26" t="s">
        <v>16</v>
      </c>
      <c r="B15" s="26"/>
      <c r="C15" s="26"/>
      <c r="D15" s="26"/>
      <c r="E15" s="26"/>
      <c r="F15" s="20" t="s">
        <v>17</v>
      </c>
      <c r="G15" s="20"/>
      <c r="H15" s="20">
        <f>Данные!B21</f>
        <v>0</v>
      </c>
      <c r="I15" s="20"/>
      <c r="J15" s="20"/>
      <c r="K15" s="20">
        <f>Данные!B22</f>
        <v>0</v>
      </c>
      <c r="L15" s="20"/>
    </row>
    <row r="16" spans="1:13">
      <c r="A16" s="26" t="s">
        <v>18</v>
      </c>
      <c r="B16" s="26"/>
      <c r="C16" s="26"/>
      <c r="D16" s="26"/>
      <c r="E16" s="26"/>
      <c r="F16" s="20" t="s">
        <v>19</v>
      </c>
      <c r="G16" s="20"/>
      <c r="H16" s="20">
        <f>Данные!B23</f>
        <v>0</v>
      </c>
      <c r="I16" s="20"/>
      <c r="J16" s="20"/>
      <c r="K16" s="20">
        <f>Данные!B24</f>
        <v>0</v>
      </c>
      <c r="L16" s="20"/>
    </row>
    <row r="17" spans="1:19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9">
      <c r="A18" s="18" t="s">
        <v>20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9">
      <c r="A20" s="16" t="s">
        <v>21</v>
      </c>
      <c r="B20" s="16"/>
      <c r="C20" s="16"/>
      <c r="D20" s="17">
        <f>Данные!B25</f>
        <v>0</v>
      </c>
      <c r="E20" s="17"/>
      <c r="F20" s="17"/>
      <c r="G20" s="17"/>
      <c r="H20" s="17"/>
      <c r="I20" s="17"/>
      <c r="J20" s="17"/>
      <c r="K20" s="17"/>
      <c r="L20" s="17"/>
    </row>
    <row r="21" spans="1:19">
      <c r="A21" s="25"/>
      <c r="B21" s="25"/>
      <c r="C21" s="25"/>
      <c r="D21" s="16"/>
      <c r="E21" s="16"/>
      <c r="F21" s="16"/>
      <c r="G21" s="16"/>
      <c r="H21" s="16"/>
      <c r="I21" s="16"/>
      <c r="J21" s="16"/>
      <c r="K21" s="16"/>
      <c r="L21" s="16"/>
    </row>
    <row r="22" spans="1:19">
      <c r="A22" s="16" t="s">
        <v>22</v>
      </c>
      <c r="B22" s="16"/>
      <c r="C22" s="16"/>
      <c r="D22" s="17">
        <f>Данные!B26</f>
        <v>0</v>
      </c>
      <c r="E22" s="17"/>
      <c r="F22" s="17"/>
      <c r="G22" s="17"/>
      <c r="H22" s="17"/>
      <c r="I22" s="17"/>
      <c r="J22" s="17"/>
      <c r="K22" s="17"/>
      <c r="L22" s="17"/>
    </row>
    <row r="23" spans="1:19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9">
      <c r="A24" s="18" t="s">
        <v>23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9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9" ht="13.9" customHeight="1">
      <c r="A26" s="19" t="s">
        <v>24</v>
      </c>
      <c r="B26" s="20" t="s">
        <v>25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9" ht="13.9" customHeight="1">
      <c r="A27" s="19"/>
      <c r="B27" s="24" t="s">
        <v>26</v>
      </c>
      <c r="C27" s="24"/>
      <c r="D27" s="24"/>
      <c r="E27" s="24"/>
      <c r="F27" s="24"/>
      <c r="G27" s="24" t="s">
        <v>27</v>
      </c>
      <c r="H27" s="24"/>
      <c r="I27" s="24"/>
      <c r="J27" s="24"/>
      <c r="K27" s="24"/>
      <c r="L27" s="24"/>
      <c r="P27" s="6"/>
    </row>
    <row r="28" spans="1:19">
      <c r="A28" s="19"/>
      <c r="B28" s="19"/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spans="1:19">
      <c r="A29" s="19"/>
      <c r="B29" s="19"/>
      <c r="C29" s="24"/>
      <c r="D29" s="24"/>
      <c r="E29" s="24"/>
      <c r="F29" s="24"/>
      <c r="G29" s="24"/>
      <c r="H29" s="24"/>
      <c r="I29" s="24"/>
      <c r="J29" s="24"/>
      <c r="K29" s="24"/>
      <c r="L29" s="24"/>
      <c r="P29" s="6"/>
      <c r="Q29" s="6"/>
      <c r="R29" s="6"/>
    </row>
    <row r="30" spans="1:19" ht="17.100000000000001" customHeight="1">
      <c r="A30" s="19"/>
      <c r="B30" s="21" t="s">
        <v>28</v>
      </c>
      <c r="C30" s="20" t="s">
        <v>29</v>
      </c>
      <c r="D30" s="20"/>
      <c r="E30" s="20"/>
      <c r="F30" s="20" t="s">
        <v>30</v>
      </c>
      <c r="G30" s="22" t="s">
        <v>31</v>
      </c>
      <c r="H30" s="20" t="s">
        <v>29</v>
      </c>
      <c r="I30" s="20"/>
      <c r="J30" s="20"/>
      <c r="K30" s="23" t="s">
        <v>32</v>
      </c>
      <c r="L30" s="20" t="s">
        <v>33</v>
      </c>
      <c r="N30" s="2"/>
    </row>
    <row r="31" spans="1:19" ht="17.100000000000001" customHeight="1">
      <c r="A31" s="19"/>
      <c r="B31" s="19"/>
      <c r="C31" s="3">
        <v>1</v>
      </c>
      <c r="D31" s="3">
        <v>2</v>
      </c>
      <c r="E31" s="3">
        <v>3</v>
      </c>
      <c r="F31" s="20"/>
      <c r="G31" s="20"/>
      <c r="H31" s="3">
        <v>1</v>
      </c>
      <c r="I31" s="3">
        <v>2</v>
      </c>
      <c r="J31" s="3">
        <v>3</v>
      </c>
      <c r="K31" s="23"/>
      <c r="L31" s="23"/>
      <c r="S31" s="6"/>
    </row>
    <row r="32" spans="1:19" ht="17.100000000000001" customHeight="1">
      <c r="A32" s="19"/>
      <c r="B32" s="3" t="str">
        <f>Данные!B3</f>
        <v>0</v>
      </c>
      <c r="C32" s="3">
        <f>Данные!B4-B32</f>
        <v>0</v>
      </c>
      <c r="D32" s="3">
        <f>Данные!F4-B32</f>
        <v>0</v>
      </c>
      <c r="E32" s="3">
        <f>Данные!J4-B32</f>
        <v>0</v>
      </c>
      <c r="F32" s="3">
        <f>MAX(C32:E32)</f>
        <v>0</v>
      </c>
      <c r="G32" s="7">
        <f>IF(VALUE(Данные!C3)&lt;&gt;180, VALUE(Данные!C3), "")</f>
        <v>0</v>
      </c>
      <c r="H32" s="7">
        <f>IF(ISNUMBER(G32), Данные!C4 - G32, "")</f>
        <v>0</v>
      </c>
      <c r="I32" s="7">
        <f>IF(ISNUMBER(G32), Данные!G4 - G32, "")</f>
        <v>0</v>
      </c>
      <c r="J32" s="7">
        <f>IF(ISNUMBER(G32), Данные!K4 - G32, "")</f>
        <v>0</v>
      </c>
      <c r="K32" s="7">
        <f>IF(ISNUMBER(G32), SUM(H32:J32)/3, "")</f>
        <v>0</v>
      </c>
      <c r="L32" s="8" t="str">
        <f>IF(ISNUMBER(G32), TEXT(ABS(H32-K32), "0,0000") &amp; ", " &amp; TEXT(ABS(I32-K32), "0,0000") &amp; ", " &amp; TEXT(ABS(J32-K32), "0,0000"), "")</f>
        <v>0,0000, 0,0000, 0,0000</v>
      </c>
    </row>
    <row r="33" spans="1:12" ht="17.100000000000001" customHeight="1">
      <c r="A33" s="19"/>
      <c r="B33" s="7" t="str">
        <f>IF(VALUE(Данные!C3)=180, VALUE(Данные!C3), "")</f>
        <v/>
      </c>
      <c r="C33" s="3" t="str">
        <f>IF(ISNUMBER(B33), Данные!C4 - B33, "")</f>
        <v/>
      </c>
      <c r="D33" s="7" t="str">
        <f>IF(ISNUMBER(B33), Данные!G4 - B33, "")</f>
        <v/>
      </c>
      <c r="E33" s="7" t="str">
        <f>IF(ISNUMBER(B33), Данные!K4 - B33, "")</f>
        <v/>
      </c>
      <c r="F33" s="7" t="str">
        <f>IF(ISNUMBER(B33), MAX(C33:E33), "")</f>
        <v/>
      </c>
      <c r="G33" s="3"/>
      <c r="H33" s="3"/>
      <c r="I33" s="3"/>
      <c r="J33" s="3"/>
      <c r="K33" s="3"/>
      <c r="L33" s="3"/>
    </row>
    <row r="34" spans="1:12" ht="13.9" customHeight="1">
      <c r="A34" s="19" t="s">
        <v>24</v>
      </c>
      <c r="B34" s="20" t="s">
        <v>34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12" ht="14.1" customHeight="1">
      <c r="A35" s="19"/>
      <c r="B35" s="9"/>
      <c r="C35" s="9"/>
      <c r="D35" s="9"/>
      <c r="E35" s="9"/>
      <c r="F35" s="9"/>
      <c r="G35" s="10"/>
      <c r="H35" s="10"/>
      <c r="I35" s="10"/>
      <c r="J35" s="10"/>
      <c r="K35" s="10"/>
      <c r="L35" s="10"/>
    </row>
    <row r="36" spans="1:12" ht="17.100000000000001" customHeight="1">
      <c r="A36" s="19"/>
      <c r="B36" s="21" t="s">
        <v>28</v>
      </c>
      <c r="C36" s="20" t="s">
        <v>29</v>
      </c>
      <c r="D36" s="20"/>
      <c r="E36" s="20"/>
      <c r="F36" s="20" t="s">
        <v>30</v>
      </c>
      <c r="G36" s="22" t="s">
        <v>31</v>
      </c>
      <c r="H36" s="20" t="s">
        <v>29</v>
      </c>
      <c r="I36" s="20"/>
      <c r="J36" s="20"/>
      <c r="K36" s="23" t="s">
        <v>32</v>
      </c>
      <c r="L36" s="20" t="s">
        <v>33</v>
      </c>
    </row>
    <row r="37" spans="1:12" ht="17.100000000000001" customHeight="1">
      <c r="A37" s="19"/>
      <c r="B37" s="19"/>
      <c r="C37" s="3">
        <v>1</v>
      </c>
      <c r="D37" s="3">
        <v>2</v>
      </c>
      <c r="E37" s="3">
        <v>3</v>
      </c>
      <c r="F37" s="20"/>
      <c r="G37" s="20"/>
      <c r="H37" s="3">
        <v>1</v>
      </c>
      <c r="I37" s="3">
        <v>2</v>
      </c>
      <c r="J37" s="3">
        <v>3</v>
      </c>
      <c r="K37" s="23"/>
      <c r="L37" s="23"/>
    </row>
    <row r="38" spans="1:12" ht="17.100000000000001" customHeight="1">
      <c r="A38" s="19"/>
      <c r="B38" s="3">
        <f>Данные!D3</f>
        <v>0</v>
      </c>
      <c r="C38" s="3">
        <f>Данные!D4-B38</f>
        <v>0</v>
      </c>
      <c r="D38" s="3">
        <f>Данные!H4-B38</f>
        <v>0</v>
      </c>
      <c r="E38" s="3">
        <f>Данные!L4-B38</f>
        <v>0</v>
      </c>
      <c r="F38" s="3">
        <f>MAX(C38:E38)</f>
        <v>0</v>
      </c>
      <c r="G38" s="3">
        <f>IF(VALUE(Данные!E3)&lt;&gt;180, VALUE(Данные!E3), "")</f>
        <v>0</v>
      </c>
      <c r="H38" s="3">
        <f>IF(ISNUMBER(G38), Данные!E4 - G38, "")</f>
        <v>0</v>
      </c>
      <c r="I38" s="3">
        <f>IF(ISNUMBER(G38), Данные!I4 - G38, "")</f>
        <v>0</v>
      </c>
      <c r="J38" s="3">
        <f>IF(ISNUMBER(G38), Данные!M4 - G38, "")</f>
        <v>0</v>
      </c>
      <c r="K38" s="3">
        <f>IF(ISNUMBER(G38), SUM(H38:J38)/3, "")</f>
        <v>0</v>
      </c>
      <c r="L38" s="11" t="str">
        <f>IF(ISNUMBER(G38), TEXT(ABS(H38-K38), "0,0000") &amp; ", " &amp; TEXT(ABS(I38-K38), "0,0000") &amp; ", " &amp; TEXT(ABS(J38-K38), "0,0000"), "")</f>
        <v>0,0000, 0,0000, 0,0000</v>
      </c>
    </row>
    <row r="39" spans="1:12" ht="17.100000000000001" customHeight="1">
      <c r="A39" s="19"/>
      <c r="B39" s="7" t="str">
        <f>IF(VALUE(Данные!E3)=180, VALUE(Данные!E3), "")</f>
        <v/>
      </c>
      <c r="C39" s="7" t="str">
        <f>IF(ISNUMBER(B39), Данные!E4 - B39, "")</f>
        <v/>
      </c>
      <c r="D39" s="7" t="str">
        <f>IF(ISNUMBER(B39), Данные!I4 - B39, "")</f>
        <v/>
      </c>
      <c r="E39" s="7" t="str">
        <f>IF(ISNUMBER(B39), Данные!M4 - B39, "")</f>
        <v/>
      </c>
      <c r="F39" s="7" t="str">
        <f>IF(ISNUMBER(B39), MAX(C39:E39), "")</f>
        <v/>
      </c>
      <c r="G39" s="3"/>
      <c r="H39" s="3"/>
      <c r="I39" s="3"/>
      <c r="J39" s="3"/>
      <c r="K39" s="3"/>
      <c r="L39" s="3"/>
    </row>
    <row r="40" spans="1:12">
      <c r="A40"/>
      <c r="B40"/>
      <c r="C40"/>
      <c r="D40"/>
      <c r="E40"/>
      <c r="F40"/>
      <c r="G40"/>
      <c r="H40"/>
      <c r="I40"/>
      <c r="J40"/>
      <c r="K40"/>
      <c r="L40"/>
    </row>
    <row r="41" spans="1:12">
      <c r="A41"/>
      <c r="B41"/>
      <c r="C41"/>
      <c r="D41"/>
      <c r="E41"/>
      <c r="F41"/>
      <c r="G41"/>
      <c r="H41"/>
      <c r="I41"/>
      <c r="J41"/>
      <c r="K41"/>
      <c r="L41"/>
    </row>
    <row r="42" spans="1:12">
      <c r="A42" s="16" t="s">
        <v>35</v>
      </c>
      <c r="B42" s="16"/>
      <c r="C42" s="16"/>
      <c r="D42" s="17" t="s">
        <v>36</v>
      </c>
      <c r="E42" s="17"/>
      <c r="F42" s="17"/>
      <c r="G42" s="17"/>
      <c r="H42" s="17"/>
      <c r="I42" s="17"/>
      <c r="J42" s="17"/>
      <c r="K42" s="17"/>
      <c r="L42" s="17"/>
    </row>
    <row r="43" spans="1:12">
      <c r="A43"/>
      <c r="B43"/>
      <c r="C43"/>
      <c r="D43"/>
      <c r="E43"/>
      <c r="F43"/>
      <c r="G43"/>
      <c r="H43"/>
      <c r="I43"/>
      <c r="J43"/>
      <c r="K43"/>
      <c r="L43"/>
    </row>
    <row r="44" spans="1:12">
      <c r="A44" s="18" t="str">
        <f>"Поверитель: " &amp; Данные!B14</f>
        <v xml:space="preserve">Поверитель: 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6" spans="1:12">
      <c r="A46" s="18" t="e">
        <f>"Дата поверки: " &amp; DAY(DATEVALUE(LEFT(Данные!B2, 5) &amp; "-" &amp; MID(Данные!B2, 7, 2) &amp; "-" &amp; MID(Данные!B2, 10, 2))) &amp; "." &amp; MONTH(DATEVALUE(LEFT(Данные!B2, 5) &amp; "-" &amp; MID(Данные!B2, 7, 2) &amp; "-" &amp; MID(Данные!B2, 10, 2)))  &amp; "." &amp; YEAR(DATEVALUE(LEFT(Данные!B2, 5) &amp; "-" &amp; MID(Данные!B2, 7, 2) &amp; "-" &amp; MID(Данные!B2, 10, 2)))</f>
        <v>#VALUE!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</sheetData>
  <mergeCells count="68">
    <mergeCell ref="A1:L3"/>
    <mergeCell ref="A4:E4"/>
    <mergeCell ref="F4:L4"/>
    <mergeCell ref="A5:E5"/>
    <mergeCell ref="F5:L5"/>
    <mergeCell ref="A6:E6"/>
    <mergeCell ref="F6:L6"/>
    <mergeCell ref="A7:E7"/>
    <mergeCell ref="F7:L7"/>
    <mergeCell ref="A8:E9"/>
    <mergeCell ref="F8:L8"/>
    <mergeCell ref="F9:L9"/>
    <mergeCell ref="A10:E11"/>
    <mergeCell ref="F10:G11"/>
    <mergeCell ref="H10:J11"/>
    <mergeCell ref="K10:L11"/>
    <mergeCell ref="A12:E12"/>
    <mergeCell ref="F12:G12"/>
    <mergeCell ref="H12:J12"/>
    <mergeCell ref="K12:L12"/>
    <mergeCell ref="A13:E13"/>
    <mergeCell ref="F13:G13"/>
    <mergeCell ref="H13:J13"/>
    <mergeCell ref="K13:L13"/>
    <mergeCell ref="A14:E14"/>
    <mergeCell ref="F14:G14"/>
    <mergeCell ref="H14:J14"/>
    <mergeCell ref="K14:L14"/>
    <mergeCell ref="A15:E15"/>
    <mergeCell ref="F15:G15"/>
    <mergeCell ref="H15:J15"/>
    <mergeCell ref="K15:L15"/>
    <mergeCell ref="A16:E16"/>
    <mergeCell ref="F16:G16"/>
    <mergeCell ref="H16:J16"/>
    <mergeCell ref="K16:L16"/>
    <mergeCell ref="A18:L18"/>
    <mergeCell ref="A20:C20"/>
    <mergeCell ref="D20:L20"/>
    <mergeCell ref="A21:C21"/>
    <mergeCell ref="D21:L21"/>
    <mergeCell ref="A22:C22"/>
    <mergeCell ref="D22:L22"/>
    <mergeCell ref="A24:L24"/>
    <mergeCell ref="A26:A33"/>
    <mergeCell ref="B26:L26"/>
    <mergeCell ref="B27:F29"/>
    <mergeCell ref="G27:L29"/>
    <mergeCell ref="B30:B31"/>
    <mergeCell ref="C30:E30"/>
    <mergeCell ref="F30:F31"/>
    <mergeCell ref="G30:G31"/>
    <mergeCell ref="H30:J30"/>
    <mergeCell ref="K30:K31"/>
    <mergeCell ref="L30:L31"/>
    <mergeCell ref="A42:C42"/>
    <mergeCell ref="D42:L42"/>
    <mergeCell ref="A44:L44"/>
    <mergeCell ref="A46:L46"/>
    <mergeCell ref="A34:A39"/>
    <mergeCell ref="B34:L34"/>
    <mergeCell ref="B36:B37"/>
    <mergeCell ref="C36:E36"/>
    <mergeCell ref="F36:F37"/>
    <mergeCell ref="G36:G37"/>
    <mergeCell ref="H36:J36"/>
    <mergeCell ref="K36:K37"/>
    <mergeCell ref="L36:L37"/>
  </mergeCells>
  <pageMargins left="0.78749999999999998" right="0.78749999999999998" top="0.88611111111111096" bottom="0.88611111111111096" header="0.78749999999999998" footer="0.78749999999999998"/>
  <pageSetup paperSize="9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9"/>
  <sheetViews>
    <sheetView topLeftCell="A4" zoomScale="90" zoomScaleNormal="90" workbookViewId="0">
      <selection activeCell="A39" sqref="A39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13">
      <c r="A1"/>
      <c r="B1"/>
      <c r="C1"/>
      <c r="D1"/>
      <c r="E1"/>
      <c r="F1"/>
      <c r="G1"/>
      <c r="H1"/>
      <c r="I1"/>
      <c r="J1"/>
      <c r="K1"/>
      <c r="L1"/>
    </row>
    <row r="2" spans="1:13">
      <c r="A2"/>
      <c r="B2"/>
      <c r="C2"/>
      <c r="D2"/>
      <c r="E2"/>
      <c r="F2"/>
      <c r="G2"/>
      <c r="H2"/>
      <c r="I2"/>
      <c r="J2"/>
      <c r="K2"/>
      <c r="L2"/>
    </row>
    <row r="3" spans="1:13">
      <c r="A3"/>
      <c r="B3"/>
      <c r="C3"/>
      <c r="D3"/>
      <c r="E3"/>
      <c r="F3"/>
      <c r="G3"/>
      <c r="H3"/>
      <c r="I3"/>
      <c r="J3"/>
      <c r="K3"/>
      <c r="L3"/>
    </row>
    <row r="4" spans="1:13">
      <c r="A4" s="34" t="s">
        <v>37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3">
      <c r="A7" s="18" t="str">
        <f>"ПРОТОКОЛ ПОВЕРКИ № " &amp; Данные!B8</f>
        <v xml:space="preserve">ПРОТОКОЛ ПОВЕРКИ № 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3">
      <c r="A9" s="18" t="str">
        <f>"Тип секундомера " &amp; Данные!B9</f>
        <v xml:space="preserve">Тип секундомера 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spans="1:1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3">
      <c r="A11" s="35" t="str">
        <f>"Заводской № " &amp; Данные!B10</f>
        <v xml:space="preserve">Заводской № 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2"/>
    </row>
    <row r="12" spans="1:1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spans="1:13">
      <c r="A13" s="18" t="str">
        <f>"Представлен " &amp;  Данные!B11</f>
        <v xml:space="preserve">Представлен 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3">
      <c r="A15" s="18" t="str">
        <f>"Средства поверки " &amp;  Данные!B12</f>
        <v xml:space="preserve">Средства поверки 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9" ht="13.9" customHeight="1">
      <c r="A17" s="19" t="s">
        <v>24</v>
      </c>
      <c r="B17" s="20" t="s">
        <v>25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9" ht="13.9" customHeight="1">
      <c r="A18" s="19"/>
      <c r="B18" s="24" t="s">
        <v>26</v>
      </c>
      <c r="C18" s="24"/>
      <c r="D18" s="24"/>
      <c r="E18" s="24"/>
      <c r="F18" s="24"/>
      <c r="G18" s="24" t="s">
        <v>27</v>
      </c>
      <c r="H18" s="24"/>
      <c r="I18" s="24"/>
      <c r="J18" s="24"/>
      <c r="K18" s="24"/>
      <c r="L18" s="24"/>
      <c r="P18" s="6"/>
    </row>
    <row r="19" spans="1:19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1:19">
      <c r="A20" s="19"/>
      <c r="B20" s="19"/>
      <c r="C20" s="24"/>
      <c r="D20" s="24"/>
      <c r="E20" s="24"/>
      <c r="F20" s="24"/>
      <c r="G20" s="24"/>
      <c r="H20" s="24"/>
      <c r="I20" s="24"/>
      <c r="J20" s="24"/>
      <c r="K20" s="24"/>
      <c r="L20" s="24"/>
      <c r="P20" s="6"/>
      <c r="Q20" s="6"/>
      <c r="R20" s="6"/>
    </row>
    <row r="21" spans="1:19" ht="17.100000000000001" customHeight="1">
      <c r="A21" s="19"/>
      <c r="B21" s="21" t="s">
        <v>28</v>
      </c>
      <c r="C21" s="20" t="s">
        <v>29</v>
      </c>
      <c r="D21" s="20"/>
      <c r="E21" s="20"/>
      <c r="F21" s="20" t="s">
        <v>30</v>
      </c>
      <c r="G21" s="22" t="s">
        <v>31</v>
      </c>
      <c r="H21" s="20" t="s">
        <v>29</v>
      </c>
      <c r="I21" s="20"/>
      <c r="J21" s="20"/>
      <c r="K21" s="23" t="s">
        <v>32</v>
      </c>
      <c r="L21" s="20" t="s">
        <v>33</v>
      </c>
      <c r="N21" s="2"/>
    </row>
    <row r="22" spans="1:19">
      <c r="A22" s="19"/>
      <c r="B22" s="19"/>
      <c r="C22" s="20">
        <v>1</v>
      </c>
      <c r="D22" s="20">
        <v>2</v>
      </c>
      <c r="E22" s="20">
        <v>3</v>
      </c>
      <c r="F22" s="20"/>
      <c r="G22" s="20"/>
      <c r="H22" s="20">
        <v>1</v>
      </c>
      <c r="I22" s="20">
        <v>2</v>
      </c>
      <c r="J22" s="20">
        <v>3</v>
      </c>
      <c r="K22" s="23"/>
      <c r="L22" s="23"/>
      <c r="S22" s="6"/>
    </row>
    <row r="23" spans="1:19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9" ht="28.35" customHeight="1">
      <c r="A24" s="20">
        <v>1</v>
      </c>
      <c r="B24" s="20" t="str">
        <f>Данные!B3</f>
        <v>0</v>
      </c>
      <c r="C24" s="20">
        <f>Данные!B4-B24</f>
        <v>0</v>
      </c>
      <c r="D24" s="20">
        <f>Данные!F4-B24</f>
        <v>0</v>
      </c>
      <c r="E24" s="20">
        <f>Данные!J4-B24</f>
        <v>0</v>
      </c>
      <c r="F24" s="20">
        <f>MAX(C24:E24)</f>
        <v>0</v>
      </c>
      <c r="G24" s="20">
        <f>IF(VALUE(Данные!C3)&lt;&gt;180, VALUE(Данные!C3), "")</f>
        <v>0</v>
      </c>
      <c r="H24" s="20">
        <f>IF(ISNUMBER(G24), Данные!C4 - G24, "")</f>
        <v>0</v>
      </c>
      <c r="I24" s="20">
        <f>IF(ISNUMBER(G24), Данные!G4 - G24, "")</f>
        <v>0</v>
      </c>
      <c r="J24" s="20">
        <f>IF(ISNUMBER(G24), Данные!K4 - G24, "")</f>
        <v>0</v>
      </c>
      <c r="K24" s="20">
        <f>IF(ISNUMBER(G24), SUM(H24:J24)/3, "")</f>
        <v>0</v>
      </c>
      <c r="L24" s="23" t="str">
        <f>IF(ISNUMBER(G24), TEXT(ABS(H24-K24), "0,0000") &amp; ", " &amp; TEXT(ABS(I24-K24), "0,0000") &amp; ", " &amp; TEXT(ABS(J24-K24), "0,0000"), "")</f>
        <v>0,0000, 0,0000, 0,0000</v>
      </c>
    </row>
    <row r="25" spans="1:19" ht="14.1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9" ht="28.35" customHeight="1">
      <c r="A26" s="20">
        <v>2</v>
      </c>
      <c r="B26" s="20" t="str">
        <f>IF(VALUE(Данные!C3)=180, VALUE(Данные!C3), "")</f>
        <v/>
      </c>
      <c r="C26" s="20" t="str">
        <f>IF(ISNUMBER(B26), Данные!C4 - B26, "")</f>
        <v/>
      </c>
      <c r="D26" s="20" t="str">
        <f>IF(ISNUMBER(B26), Данные!G4 - B26, "")</f>
        <v/>
      </c>
      <c r="E26" s="20" t="str">
        <f>IF(ISNUMBER(B26), Данные!K4 - B26, "")</f>
        <v/>
      </c>
      <c r="F26" s="20" t="str">
        <f>IF(ISNUMBER(B26), MAX(C26:E26), "")</f>
        <v/>
      </c>
      <c r="G26" s="20"/>
      <c r="H26" s="20"/>
      <c r="I26" s="20"/>
      <c r="J26" s="20"/>
      <c r="K26" s="20"/>
      <c r="L26" s="20"/>
    </row>
    <row r="27" spans="1:19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9" ht="13.9" customHeight="1">
      <c r="A28" s="19" t="s">
        <v>24</v>
      </c>
      <c r="B28" s="20" t="s">
        <v>34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9" ht="13.9" customHeight="1">
      <c r="A29" s="19"/>
      <c r="B29" s="24" t="s">
        <v>26</v>
      </c>
      <c r="C29" s="24"/>
      <c r="D29" s="24"/>
      <c r="E29" s="24"/>
      <c r="F29" s="24"/>
      <c r="G29" s="24" t="s">
        <v>27</v>
      </c>
      <c r="H29" s="24"/>
      <c r="I29" s="24"/>
      <c r="J29" s="24"/>
      <c r="K29" s="24"/>
      <c r="L29" s="24"/>
    </row>
    <row r="30" spans="1:19">
      <c r="A30" s="19"/>
      <c r="B30" s="19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19">
      <c r="A31" s="19"/>
      <c r="B31" s="19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spans="1:19" ht="17.100000000000001" customHeight="1">
      <c r="A32" s="19"/>
      <c r="B32" s="21" t="s">
        <v>28</v>
      </c>
      <c r="C32" s="20" t="s">
        <v>29</v>
      </c>
      <c r="D32" s="20"/>
      <c r="E32" s="20"/>
      <c r="F32" s="20" t="s">
        <v>30</v>
      </c>
      <c r="G32" s="22" t="s">
        <v>31</v>
      </c>
      <c r="H32" s="20" t="s">
        <v>29</v>
      </c>
      <c r="I32" s="20"/>
      <c r="J32" s="20"/>
      <c r="K32" s="23" t="s">
        <v>32</v>
      </c>
      <c r="L32" s="20" t="s">
        <v>33</v>
      </c>
    </row>
    <row r="33" spans="1:12">
      <c r="A33" s="19"/>
      <c r="B33" s="19"/>
      <c r="C33" s="20">
        <v>1</v>
      </c>
      <c r="D33" s="20">
        <v>2</v>
      </c>
      <c r="E33" s="20">
        <v>3</v>
      </c>
      <c r="F33" s="20"/>
      <c r="G33" s="20"/>
      <c r="H33" s="20">
        <v>1</v>
      </c>
      <c r="I33" s="20">
        <v>2</v>
      </c>
      <c r="J33" s="20">
        <v>3</v>
      </c>
      <c r="K33" s="23"/>
      <c r="L33" s="23"/>
    </row>
    <row r="34" spans="1:1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ht="28.35" customHeight="1">
      <c r="A35" s="20">
        <v>1</v>
      </c>
      <c r="B35" s="20">
        <f>Данные!D3</f>
        <v>0</v>
      </c>
      <c r="C35" s="20">
        <f>Данные!D4-B35</f>
        <v>0</v>
      </c>
      <c r="D35" s="20">
        <f>Данные!H4-B35</f>
        <v>0</v>
      </c>
      <c r="E35" s="20">
        <f>Данные!L4-B35</f>
        <v>0</v>
      </c>
      <c r="F35" s="20">
        <f>MAX(C35:E35)</f>
        <v>0</v>
      </c>
      <c r="G35" s="20">
        <f>IF(VALUE(Данные!E3)&lt;&gt;180, VALUE(Данные!E3), "")</f>
        <v>0</v>
      </c>
      <c r="H35" s="20">
        <f>IF(ISNUMBER(G35), Данные!E4 - G35, "")</f>
        <v>0</v>
      </c>
      <c r="I35" s="20">
        <f>IF(ISNUMBER(G35), Данные!I4 - G35, "")</f>
        <v>0</v>
      </c>
      <c r="J35" s="20">
        <f>IF(ISNUMBER(G35), Данные!M4 - G35, "")</f>
        <v>0</v>
      </c>
      <c r="K35" s="20">
        <f>IF(ISNUMBER(G35), SUM(H35:J35)/3, "")</f>
        <v>0</v>
      </c>
      <c r="L35" s="23" t="str">
        <f>IF(ISNUMBER(G35), TEXT(ABS(H35-K35), "0,0000") &amp; ", " &amp; TEXT(ABS(I35-K35), "0,0000") &amp; ", " &amp; TEXT(ABS(J35-K35), "0,0000"), "")</f>
        <v>0,0000, 0,0000, 0,0000</v>
      </c>
    </row>
    <row r="36" spans="1:12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spans="1:12" ht="28.35" customHeight="1">
      <c r="A37" s="20">
        <v>2</v>
      </c>
      <c r="B37" s="20" t="str">
        <f>IF(VALUE(Данные!E3)=180, VALUE(Данные!E3), "")</f>
        <v/>
      </c>
      <c r="C37" s="20" t="str">
        <f>IF(ISNUMBER(B37), Данные!E4 - B37, "")</f>
        <v/>
      </c>
      <c r="D37" s="20" t="str">
        <f>IF(ISNUMBER(B37), Данные!I4 - B37, "")</f>
        <v/>
      </c>
      <c r="E37" s="20" t="str">
        <f>IF(ISNUMBER(B37), Данные!M4 - B37, "")</f>
        <v/>
      </c>
      <c r="F37" s="20" t="str">
        <f>IF(ISNUMBER(B37), MAX(C37:E37), "")</f>
        <v/>
      </c>
      <c r="G37" s="20"/>
      <c r="H37" s="20"/>
      <c r="I37" s="20"/>
      <c r="J37" s="20"/>
      <c r="K37" s="20"/>
      <c r="L37" s="20"/>
    </row>
    <row r="38" spans="1:1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spans="1:12">
      <c r="A39" s="33" t="str">
        <f>"Заключение по результатам поверки " &amp; Данные!B13</f>
        <v xml:space="preserve">Заключение по результатам поверки </v>
      </c>
      <c r="B39" s="33"/>
      <c r="C39" s="33"/>
      <c r="D39" s="33"/>
      <c r="E39" s="33"/>
    </row>
    <row r="40" spans="1:12">
      <c r="A40" s="33"/>
      <c r="B40" s="33"/>
      <c r="C40" s="33"/>
      <c r="D40" s="33"/>
      <c r="E40" s="33"/>
    </row>
    <row r="41" spans="1:12">
      <c r="A41" s="33"/>
      <c r="B41" s="33"/>
      <c r="C41" s="33"/>
      <c r="D41" s="33"/>
      <c r="E41" s="33"/>
    </row>
    <row r="42" spans="1:12">
      <c r="A42" s="33"/>
      <c r="B42" s="33"/>
      <c r="C42" s="33"/>
      <c r="D42" s="33"/>
      <c r="E42" s="33"/>
    </row>
    <row r="43" spans="1:12">
      <c r="A43" s="18" t="e">
        <f>"Подпись поверителя "&amp; Данные!B14 &amp;" ________ " &amp; DAY(DATEVALUE(LEFT(Данные!B2, 5) &amp; "-" &amp; MID(Данные!B2, 7, 2) &amp; "-" &amp; MID(Данные!B2, 10, 2))) &amp; "." &amp; MONTH(DATEVALUE(LEFT(Данные!B2, 5) &amp; "-" &amp; MID(Данные!B2, 7, 2) &amp; "-" &amp; MID(Данные!B2, 10, 2)))  &amp; "." &amp; YEAR(DATEVALUE(LEFT(Данные!B2, 5) &amp; "-" &amp; MID(Данные!B2, 7, 2) &amp; "-" &amp; MID(Данные!B2, 10, 2)))</f>
        <v>#VALUE!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>
      <c r="A45"/>
      <c r="B45"/>
      <c r="C45"/>
      <c r="D45"/>
      <c r="E45"/>
      <c r="F45"/>
      <c r="G45"/>
      <c r="H45"/>
      <c r="I45"/>
      <c r="J45"/>
      <c r="K45"/>
      <c r="L45"/>
    </row>
    <row r="46" spans="1:12">
      <c r="A46"/>
      <c r="B46"/>
      <c r="C46"/>
      <c r="D46"/>
      <c r="E46"/>
      <c r="F46"/>
      <c r="G46"/>
      <c r="H46"/>
      <c r="I46"/>
      <c r="J46"/>
      <c r="K46"/>
      <c r="L46"/>
    </row>
    <row r="47" spans="1:12">
      <c r="A47"/>
      <c r="B47"/>
      <c r="C47"/>
      <c r="D47"/>
      <c r="E47"/>
      <c r="F47"/>
      <c r="G47"/>
      <c r="H47"/>
      <c r="I47"/>
      <c r="J47"/>
      <c r="K47"/>
      <c r="L47"/>
    </row>
    <row r="48" spans="1:12">
      <c r="A48"/>
      <c r="B48"/>
      <c r="C48"/>
      <c r="D48"/>
      <c r="E48"/>
      <c r="F48"/>
      <c r="G48"/>
      <c r="H48"/>
      <c r="I48"/>
      <c r="J48"/>
      <c r="K48"/>
      <c r="L48"/>
    </row>
    <row r="49" spans="1:12">
      <c r="A49"/>
      <c r="B49"/>
      <c r="C49"/>
      <c r="D49"/>
      <c r="E49"/>
      <c r="F49"/>
      <c r="G49"/>
      <c r="H49"/>
      <c r="I49"/>
      <c r="J49"/>
      <c r="K49"/>
      <c r="L49"/>
    </row>
  </sheetData>
  <mergeCells count="90">
    <mergeCell ref="A4:L6"/>
    <mergeCell ref="A7:L8"/>
    <mergeCell ref="A9:L10"/>
    <mergeCell ref="A11:L12"/>
    <mergeCell ref="A13:L14"/>
    <mergeCell ref="A15:L16"/>
    <mergeCell ref="A17:A23"/>
    <mergeCell ref="B17:L17"/>
    <mergeCell ref="B18:F20"/>
    <mergeCell ref="G18:L20"/>
    <mergeCell ref="B21:B23"/>
    <mergeCell ref="C21:E21"/>
    <mergeCell ref="F21:F23"/>
    <mergeCell ref="G21:G23"/>
    <mergeCell ref="H21:J21"/>
    <mergeCell ref="K21:K23"/>
    <mergeCell ref="L21:L23"/>
    <mergeCell ref="C22:C23"/>
    <mergeCell ref="D22:D23"/>
    <mergeCell ref="E22:E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L32:L34"/>
    <mergeCell ref="C33:C34"/>
    <mergeCell ref="D33:D34"/>
    <mergeCell ref="E33:E34"/>
    <mergeCell ref="H33:H34"/>
    <mergeCell ref="I33:I34"/>
    <mergeCell ref="C32:E32"/>
    <mergeCell ref="F32:F34"/>
    <mergeCell ref="G32:G34"/>
    <mergeCell ref="H32:J32"/>
    <mergeCell ref="K32:K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A28:A34"/>
    <mergeCell ref="B28:L28"/>
    <mergeCell ref="B29:F31"/>
    <mergeCell ref="G29:L31"/>
    <mergeCell ref="B32:B34"/>
    <mergeCell ref="A39:E42"/>
    <mergeCell ref="A43:L44"/>
    <mergeCell ref="K35:K36"/>
    <mergeCell ref="L35:L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</mergeCells>
  <pageMargins left="0.78749999999999998" right="0.78749999999999998" top="0.88611111111111096" bottom="0.88611111111111096" header="0.78749999999999998" footer="0.78749999999999998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3"/>
  <sheetViews>
    <sheetView tabSelected="1" zoomScale="90" zoomScaleNormal="90" workbookViewId="0">
      <selection activeCell="C12" sqref="C12"/>
    </sheetView>
  </sheetViews>
  <sheetFormatPr defaultColWidth="11.5703125" defaultRowHeight="15.75"/>
  <cols>
    <col min="1" max="1" width="26.42578125" style="12" customWidth="1"/>
    <col min="2" max="64" width="25.5703125" style="13" customWidth="1"/>
    <col min="65" max="16384" width="11.5703125" style="15"/>
  </cols>
  <sheetData>
    <row r="1" spans="1:64" s="37" customFormat="1">
      <c r="A1" s="12" t="s">
        <v>38</v>
      </c>
      <c r="B1" s="14" t="s">
        <v>39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</row>
    <row r="2" spans="1:64" s="37" customFormat="1">
      <c r="A2" s="12" t="s">
        <v>40</v>
      </c>
      <c r="B2" s="14" t="s">
        <v>39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 s="37" customFormat="1">
      <c r="A3" s="12" t="s">
        <v>41</v>
      </c>
      <c r="B3" s="14" t="s">
        <v>39</v>
      </c>
      <c r="C3" s="14"/>
      <c r="D3" s="14"/>
      <c r="E3" s="14"/>
      <c r="F3" s="14"/>
      <c r="G3" s="14"/>
      <c r="H3" s="14"/>
      <c r="I3" s="14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</row>
    <row r="4" spans="1:64" s="37" customFormat="1">
      <c r="A4" s="12" t="s">
        <v>42</v>
      </c>
      <c r="B4" s="14" t="s">
        <v>39</v>
      </c>
      <c r="C4" s="14"/>
      <c r="D4" s="14"/>
      <c r="E4" s="14"/>
      <c r="F4" s="14"/>
      <c r="G4" s="14"/>
      <c r="H4" s="14"/>
      <c r="I4" s="14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</row>
    <row r="5" spans="1:64" s="37" customFormat="1">
      <c r="A5" s="12" t="s">
        <v>43</v>
      </c>
      <c r="B5" s="13">
        <v>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</row>
    <row r="6" spans="1:64" s="37" customFormat="1" ht="31.5">
      <c r="A6" s="12" t="s">
        <v>44</v>
      </c>
      <c r="B6" s="13">
        <v>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</row>
    <row r="8" spans="1:64">
      <c r="B8" s="14"/>
    </row>
    <row r="10" spans="1:64">
      <c r="B10" s="14"/>
    </row>
    <row r="16" spans="1:64">
      <c r="B16" s="14"/>
    </row>
    <row r="18" spans="2:2">
      <c r="B18" s="14"/>
    </row>
    <row r="19" spans="2:2">
      <c r="B19" s="14"/>
    </row>
    <row r="21" spans="2:2">
      <c r="B21" s="14"/>
    </row>
    <row r="23" spans="2:2">
      <c r="B23" s="14"/>
    </row>
  </sheetData>
  <pageMargins left="0.78749999999999998" right="0.78749999999999998" top="0.88611111111111096" bottom="0.88611111111111096" header="0.78749999999999998" footer="0.78749999999999998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zoomScale="90" zoomScaleNormal="90" workbookViewId="0">
      <selection sqref="A1:P34"/>
    </sheetView>
  </sheetViews>
  <sheetFormatPr defaultColWidth="11.5703125" defaultRowHeight="12.75"/>
  <sheetData>
    <row r="1" spans="1:16" ht="12.75" customHeight="1">
      <c r="A1" s="36" t="s">
        <v>45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16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1:16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9" spans="1:16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16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</row>
    <row r="12" spans="1:16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 spans="1:16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</row>
    <row r="16" spans="1: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</row>
    <row r="20" spans="1:16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16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pans="1:16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8" spans="1:16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</row>
    <row r="29" spans="1:16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</row>
    <row r="30" spans="1:16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spans="1:16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</row>
    <row r="32" spans="1:16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</row>
    <row r="33" spans="1:16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16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</row>
  </sheetData>
  <mergeCells count="1">
    <mergeCell ref="A1:P34"/>
  </mergeCells>
  <pageMargins left="0.78749999999999998" right="0.78749999999999998" top="0.88611111111111096" bottom="0.88611111111111096" header="0.78749999999999998" footer="0.78749999999999998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ГОСТ 8.423-81</vt:lpstr>
      <vt:lpstr>ГОСТ 8.423-81 (2)</vt:lpstr>
      <vt:lpstr>Данные</vt:lpstr>
      <vt:lpstr>Справка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503</cp:lastModifiedBy>
  <dcterms:modified xsi:type="dcterms:W3CDTF">2021-02-03T11:17:11Z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ru-RU</dc:language>
  <cp:lastModifiedBy/>
  <cp:lastPrinted>2019-06-28T17:30:06Z</cp:lastPrinted>
  <dcterms:modified xsi:type="dcterms:W3CDTF">2020-11-11T10:15:50Z</dcterms:modified>
  <cp:revision>56</cp:revision>
  <dc:subject/>
  <dc:title/>
</cp:coreProperties>
</file>