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03\Desktop\templates\"/>
    </mc:Choice>
  </mc:AlternateContent>
  <bookViews>
    <workbookView xWindow="0" yWindow="0" windowWidth="16380" windowHeight="8190" tabRatio="500" activeTab="2"/>
  </bookViews>
  <sheets>
    <sheet name="Часы технические" sheetId="1" r:id="rId1"/>
    <sheet name="Часы АЧС-1" sheetId="2" r:id="rId2"/>
    <sheet name="Данные" sheetId="3" r:id="rId3"/>
  </sheets>
  <calcPr calcId="162913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41" i="2" l="1"/>
  <c r="A39" i="2"/>
  <c r="I28" i="2"/>
  <c r="D37" i="2" s="1"/>
  <c r="D23" i="2"/>
  <c r="D21" i="2"/>
  <c r="K16" i="2"/>
  <c r="H16" i="2"/>
  <c r="K15" i="2"/>
  <c r="H15" i="2"/>
  <c r="K14" i="2"/>
  <c r="H14" i="2"/>
  <c r="K13" i="2"/>
  <c r="H13" i="2"/>
  <c r="K12" i="2"/>
  <c r="H12" i="2"/>
  <c r="F8" i="2"/>
  <c r="F6" i="2"/>
  <c r="F5" i="2"/>
  <c r="F4" i="2"/>
  <c r="A1" i="2"/>
  <c r="A48" i="1"/>
  <c r="A46" i="1"/>
  <c r="F20" i="1"/>
  <c r="D44" i="1" s="1"/>
  <c r="K16" i="1"/>
  <c r="H16" i="1"/>
  <c r="K15" i="1"/>
  <c r="H15" i="1"/>
  <c r="K14" i="1"/>
  <c r="H14" i="1"/>
  <c r="K13" i="1"/>
  <c r="H13" i="1"/>
  <c r="K12" i="1"/>
  <c r="H12" i="1"/>
  <c r="F8" i="1"/>
  <c r="F6" i="1"/>
  <c r="F5" i="1"/>
  <c r="F4" i="1"/>
  <c r="A1" i="1"/>
</calcChain>
</file>

<file path=xl/sharedStrings.xml><?xml version="1.0" encoding="utf-8"?>
<sst xmlns="http://schemas.openxmlformats.org/spreadsheetml/2006/main" count="80" uniqueCount="47">
  <si>
    <t>Наименование, тип:</t>
  </si>
  <si>
    <t>Заводской номер:</t>
  </si>
  <si>
    <t>Принадлежность:</t>
  </si>
  <si>
    <t>НТД по поверке:</t>
  </si>
  <si>
    <t>гМ2.813.004 МУ</t>
  </si>
  <si>
    <t>Применяемые эталоны:
(средства измерений)</t>
  </si>
  <si>
    <t>Условия поверки:</t>
  </si>
  <si>
    <t>Допуск</t>
  </si>
  <si>
    <t>Измеренное значение</t>
  </si>
  <si>
    <t>Средство контроля</t>
  </si>
  <si>
    <t xml:space="preserve">температура,°C </t>
  </si>
  <si>
    <t>15...25</t>
  </si>
  <si>
    <t>влажность, %</t>
  </si>
  <si>
    <t>50...80</t>
  </si>
  <si>
    <t>давление, мм рт.ст.</t>
  </si>
  <si>
    <t>630...795</t>
  </si>
  <si>
    <t>напряжение сети питания, В</t>
  </si>
  <si>
    <t>198,0...242,0</t>
  </si>
  <si>
    <t>частота сети питания, Гц</t>
  </si>
  <si>
    <t>49,0...51,0</t>
  </si>
  <si>
    <t>Операции поверки:</t>
  </si>
  <si>
    <t>1. Внешний осмотр:</t>
  </si>
  <si>
    <t>2. Определение суточного и средне-суточного хода:</t>
  </si>
  <si>
    <t>Брак/Годен</t>
  </si>
  <si>
    <t>3. Проверка пуска и начала работы</t>
  </si>
  <si>
    <t>4. Проверка действия заводного механизма</t>
  </si>
  <si>
    <t>5. Проверка возврата стрелок механизма секундомера</t>
  </si>
  <si>
    <t>6. Проверка согласованности стрелок</t>
  </si>
  <si>
    <t>7. Проверка смещения стрелок механизма секундомера</t>
  </si>
  <si>
    <t>8. Проверка наличия и последовательности замыкания контактов во время работы механизма секундомера (для часов 59ЧП)</t>
  </si>
  <si>
    <t>9. Проверка электрического сопротивления изоляции. Проверка работы терморегулятора (для часов 123ЧС, 124 ЧС)</t>
  </si>
  <si>
    <t>Результаты поверки:</t>
  </si>
  <si>
    <t>МП 80-262-2004</t>
  </si>
  <si>
    <t>2. Опробование:</t>
  </si>
  <si>
    <t>3. Определение метрологических характеристик</t>
  </si>
  <si>
    <t>Наименование операции</t>
  </si>
  <si>
    <t>Допускаемое значение</t>
  </si>
  <si>
    <t>Поверка электрического сопротивления изоляции</t>
  </si>
  <si>
    <t>не менее 20 МОм</t>
  </si>
  <si>
    <t>Определение суточного и среднесуточного ход</t>
  </si>
  <si>
    <t>±20 с</t>
  </si>
  <si>
    <t>Номер измерения</t>
  </si>
  <si>
    <t>0</t>
  </si>
  <si>
    <t>Дата</t>
  </si>
  <si>
    <t>Интервал измерения</t>
  </si>
  <si>
    <t>Результат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</si>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</sst>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ИСТИНА&quot;;&quot;ИСТИНА&quot;;&quot;ЛОЖЬ&quot;"/>
  </numFmts>
  <fonts count="7">
    <font>
      <sz val="10"/>
      <name val="Arial"/>
      <family val="2"/>
      <charset val="204"/>
    </font>
    <font>
      <sz val="10"/>
      <color rgb="FF000000"/>
      <name val="Mang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Заголовок" xfId="1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8"/>
  <sheetViews>
    <sheetView zoomScale="90" zoomScaleNormal="90" workbookViewId="0">
      <selection activeCell="F20" sqref="F20:L21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 s="24" t="str">
        <f>"ПРОТОКОЛ ПОВЕРКИ"  &amp; CHAR(10) &amp; "ЧАСОВ ТЕХНИЧЕСКИХ" &amp; CHAR(10) &amp; "№ " &amp; Данные!B8</f>
        <v xml:space="preserve">ПРОТОКОЛ ПОВЕРКИ
ЧАСОВ ТЕХНИЧЕСКИХ
№ 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>
      <c r="A4" s="17" t="s">
        <v>0</v>
      </c>
      <c r="B4" s="17"/>
      <c r="C4" s="17"/>
      <c r="D4" s="17"/>
      <c r="E4" s="17"/>
      <c r="F4" s="17">
        <f>Данные!B9</f>
        <v>0</v>
      </c>
      <c r="G4" s="17"/>
      <c r="H4" s="17"/>
      <c r="I4" s="17"/>
      <c r="J4" s="17"/>
      <c r="K4" s="17"/>
      <c r="L4" s="17"/>
    </row>
    <row r="5" spans="1:13">
      <c r="A5" s="21" t="s">
        <v>1</v>
      </c>
      <c r="B5" s="21"/>
      <c r="C5" s="21"/>
      <c r="D5" s="21"/>
      <c r="E5" s="21"/>
      <c r="F5" s="17">
        <f>Данные!B10</f>
        <v>0</v>
      </c>
      <c r="G5" s="17"/>
      <c r="H5" s="17"/>
      <c r="I5" s="17"/>
      <c r="J5" s="17"/>
      <c r="K5" s="17"/>
      <c r="L5" s="17"/>
    </row>
    <row r="6" spans="1:13">
      <c r="A6" s="17" t="s">
        <v>2</v>
      </c>
      <c r="B6" s="17"/>
      <c r="C6" s="17"/>
      <c r="D6" s="17"/>
      <c r="E6" s="17"/>
      <c r="F6" s="17">
        <f>Данные!B11</f>
        <v>0</v>
      </c>
      <c r="G6" s="17"/>
      <c r="H6" s="17"/>
      <c r="I6" s="17"/>
      <c r="J6" s="17"/>
      <c r="K6" s="17"/>
      <c r="L6" s="17"/>
    </row>
    <row r="7" spans="1:13">
      <c r="A7" s="21" t="s">
        <v>3</v>
      </c>
      <c r="B7" s="21"/>
      <c r="C7" s="21"/>
      <c r="D7" s="21"/>
      <c r="E7" s="21"/>
      <c r="F7" s="22" t="s">
        <v>4</v>
      </c>
      <c r="G7" s="22"/>
      <c r="H7" s="22"/>
      <c r="I7" s="22"/>
      <c r="J7" s="22"/>
      <c r="K7" s="22"/>
      <c r="L7" s="22"/>
    </row>
    <row r="8" spans="1:13" ht="13.9" customHeight="1">
      <c r="A8" s="23" t="s">
        <v>5</v>
      </c>
      <c r="B8" s="23"/>
      <c r="C8" s="23"/>
      <c r="D8" s="23"/>
      <c r="E8" s="23"/>
      <c r="F8" s="17">
        <f>Данные!B12</f>
        <v>0</v>
      </c>
      <c r="G8" s="17"/>
      <c r="H8" s="17"/>
      <c r="I8" s="17"/>
      <c r="J8" s="17"/>
      <c r="K8" s="17"/>
      <c r="L8" s="17"/>
      <c r="M8" s="2"/>
    </row>
    <row r="9" spans="1:13">
      <c r="A9" s="23"/>
      <c r="B9" s="23"/>
      <c r="C9" s="23"/>
      <c r="D9" s="23"/>
      <c r="E9" s="23"/>
      <c r="F9" s="17"/>
      <c r="G9" s="17"/>
      <c r="H9" s="17"/>
      <c r="I9" s="17"/>
      <c r="J9" s="17"/>
      <c r="K9" s="17"/>
      <c r="L9" s="17"/>
      <c r="M9" s="2"/>
    </row>
    <row r="10" spans="1:13" ht="13.9" customHeight="1">
      <c r="A10" s="19" t="s">
        <v>6</v>
      </c>
      <c r="B10" s="19"/>
      <c r="C10" s="19"/>
      <c r="D10" s="19"/>
      <c r="E10" s="19"/>
      <c r="F10" s="18" t="s">
        <v>7</v>
      </c>
      <c r="G10" s="18"/>
      <c r="H10" s="20" t="s">
        <v>8</v>
      </c>
      <c r="I10" s="20"/>
      <c r="J10" s="20"/>
      <c r="K10" s="20" t="s">
        <v>9</v>
      </c>
      <c r="L10" s="20"/>
    </row>
    <row r="11" spans="1:13">
      <c r="A11" s="19"/>
      <c r="B11" s="19"/>
      <c r="C11" s="19"/>
      <c r="D11" s="19"/>
      <c r="E11" s="19"/>
      <c r="F11" s="18"/>
      <c r="G11" s="18"/>
      <c r="H11" s="20"/>
      <c r="I11" s="20"/>
      <c r="J11" s="20"/>
      <c r="K11" s="20"/>
      <c r="L11" s="20"/>
    </row>
    <row r="12" spans="1:13">
      <c r="A12" s="17" t="s">
        <v>10</v>
      </c>
      <c r="B12" s="17"/>
      <c r="C12" s="17"/>
      <c r="D12" s="17"/>
      <c r="E12" s="17"/>
      <c r="F12" s="18" t="s">
        <v>11</v>
      </c>
      <c r="G12" s="18"/>
      <c r="H12" s="18">
        <f>Данные!B15</f>
        <v>0</v>
      </c>
      <c r="I12" s="18"/>
      <c r="J12" s="18"/>
      <c r="K12" s="18">
        <f>Данные!B16</f>
        <v>0</v>
      </c>
      <c r="L12" s="18"/>
    </row>
    <row r="13" spans="1:13">
      <c r="A13" s="17" t="s">
        <v>12</v>
      </c>
      <c r="B13" s="17"/>
      <c r="C13" s="17"/>
      <c r="D13" s="17"/>
      <c r="E13" s="17"/>
      <c r="F13" s="18" t="s">
        <v>13</v>
      </c>
      <c r="G13" s="18"/>
      <c r="H13" s="18">
        <f>Данные!B17</f>
        <v>0</v>
      </c>
      <c r="I13" s="18"/>
      <c r="J13" s="18"/>
      <c r="K13" s="18">
        <f>Данные!B18</f>
        <v>0</v>
      </c>
      <c r="L13" s="18"/>
    </row>
    <row r="14" spans="1:13">
      <c r="A14" s="17" t="s">
        <v>14</v>
      </c>
      <c r="B14" s="17"/>
      <c r="C14" s="17"/>
      <c r="D14" s="17"/>
      <c r="E14" s="17"/>
      <c r="F14" s="18" t="s">
        <v>15</v>
      </c>
      <c r="G14" s="18"/>
      <c r="H14" s="18">
        <f>Данные!B19</f>
        <v>0</v>
      </c>
      <c r="I14" s="18"/>
      <c r="J14" s="18"/>
      <c r="K14" s="18">
        <f>Данные!B20</f>
        <v>0</v>
      </c>
      <c r="L14" s="18"/>
    </row>
    <row r="15" spans="1:13">
      <c r="A15" s="17" t="s">
        <v>16</v>
      </c>
      <c r="B15" s="17"/>
      <c r="C15" s="17"/>
      <c r="D15" s="17"/>
      <c r="E15" s="17"/>
      <c r="F15" s="18" t="s">
        <v>17</v>
      </c>
      <c r="G15" s="18"/>
      <c r="H15" s="18">
        <f>Данные!B21</f>
        <v>0</v>
      </c>
      <c r="I15" s="18"/>
      <c r="J15" s="18"/>
      <c r="K15" s="18">
        <f>Данные!B22</f>
        <v>0</v>
      </c>
      <c r="L15" s="18"/>
    </row>
    <row r="16" spans="1:13">
      <c r="A16" s="17" t="s">
        <v>18</v>
      </c>
      <c r="B16" s="17"/>
      <c r="C16" s="17"/>
      <c r="D16" s="17"/>
      <c r="E16" s="17"/>
      <c r="F16" s="18" t="s">
        <v>19</v>
      </c>
      <c r="G16" s="18"/>
      <c r="H16" s="18">
        <f>Данные!B23</f>
        <v>0</v>
      </c>
      <c r="I16" s="18"/>
      <c r="J16" s="18"/>
      <c r="K16" s="18">
        <f>Данные!B24</f>
        <v>0</v>
      </c>
      <c r="L16" s="18"/>
    </row>
    <row r="17" spans="1:16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6">
      <c r="A18" s="12" t="s">
        <v>20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6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6" ht="13.9" customHeight="1">
      <c r="A20" s="13" t="s">
        <v>21</v>
      </c>
      <c r="B20" s="13"/>
      <c r="C20" s="13"/>
      <c r="D20" s="13"/>
      <c r="E20" s="13"/>
      <c r="F20" s="14">
        <f>Данные!B25</f>
        <v>0</v>
      </c>
      <c r="G20" s="14"/>
      <c r="H20" s="14"/>
      <c r="I20" s="14"/>
      <c r="J20" s="14"/>
      <c r="K20" s="14"/>
      <c r="L20" s="14"/>
    </row>
    <row r="21" spans="1:16">
      <c r="A21" s="13"/>
      <c r="B21" s="13"/>
      <c r="C21" s="13"/>
      <c r="D21" s="13"/>
      <c r="E21" s="13"/>
      <c r="F21" s="14"/>
      <c r="G21" s="14"/>
      <c r="H21" s="14"/>
      <c r="I21" s="14"/>
      <c r="J21" s="14"/>
      <c r="K21" s="14"/>
      <c r="L21" s="14"/>
    </row>
    <row r="22" spans="1:16" ht="13.9" customHeight="1">
      <c r="A22" s="13" t="s">
        <v>22</v>
      </c>
      <c r="B22" s="13"/>
      <c r="C22" s="13"/>
      <c r="D22" s="13"/>
      <c r="E22" s="13"/>
      <c r="F22" s="14" t="s">
        <v>23</v>
      </c>
      <c r="G22" s="14"/>
      <c r="H22" s="14"/>
      <c r="I22" s="14"/>
      <c r="J22" s="14"/>
      <c r="K22" s="14"/>
      <c r="L22" s="14"/>
    </row>
    <row r="23" spans="1:16" ht="15.75" customHeight="1">
      <c r="A23" s="13"/>
      <c r="B23" s="13"/>
      <c r="C23" s="13"/>
      <c r="D23" s="13"/>
      <c r="E23" s="13"/>
      <c r="F23" s="14"/>
      <c r="G23" s="14"/>
      <c r="H23" s="14"/>
      <c r="I23" s="14"/>
      <c r="J23" s="14"/>
      <c r="K23" s="14"/>
      <c r="L23" s="14"/>
    </row>
    <row r="24" spans="1:16" ht="13.9" customHeight="1">
      <c r="A24" s="13" t="s">
        <v>24</v>
      </c>
      <c r="B24" s="13"/>
      <c r="C24" s="13"/>
      <c r="D24" s="13"/>
      <c r="E24" s="13"/>
      <c r="F24" s="14" t="s">
        <v>23</v>
      </c>
      <c r="G24" s="14"/>
      <c r="H24" s="14"/>
      <c r="I24" s="14"/>
      <c r="J24" s="14"/>
      <c r="K24" s="14"/>
      <c r="L24" s="14"/>
    </row>
    <row r="25" spans="1:16">
      <c r="A25" s="13"/>
      <c r="B25" s="13"/>
      <c r="C25" s="13"/>
      <c r="D25" s="13"/>
      <c r="E25" s="13"/>
      <c r="F25" s="14"/>
      <c r="G25" s="14"/>
      <c r="H25" s="14"/>
      <c r="I25" s="14"/>
      <c r="J25" s="14"/>
      <c r="K25" s="14"/>
      <c r="L25" s="14"/>
      <c r="P25" s="5"/>
    </row>
    <row r="26" spans="1:16" ht="13.9" customHeight="1">
      <c r="A26" s="13" t="s">
        <v>25</v>
      </c>
      <c r="B26" s="13"/>
      <c r="C26" s="13"/>
      <c r="D26" s="13"/>
      <c r="E26" s="13"/>
      <c r="F26" s="14" t="s">
        <v>23</v>
      </c>
      <c r="G26" s="14"/>
      <c r="H26" s="14"/>
      <c r="I26" s="14"/>
      <c r="J26" s="14"/>
      <c r="K26" s="14"/>
      <c r="L26" s="14"/>
    </row>
    <row r="27" spans="1:16">
      <c r="A27" s="13"/>
      <c r="B27" s="13"/>
      <c r="C27" s="13"/>
      <c r="D27" s="13"/>
      <c r="E27" s="13"/>
      <c r="F27" s="14"/>
      <c r="G27" s="14"/>
      <c r="H27" s="14"/>
      <c r="I27" s="14"/>
      <c r="J27" s="14"/>
      <c r="K27" s="14"/>
      <c r="L27" s="14"/>
    </row>
    <row r="28" spans="1:16" ht="13.9" customHeight="1">
      <c r="A28" s="13" t="s">
        <v>26</v>
      </c>
      <c r="B28" s="13"/>
      <c r="C28" s="13"/>
      <c r="D28" s="13"/>
      <c r="E28" s="13"/>
      <c r="F28" s="14" t="s">
        <v>23</v>
      </c>
      <c r="G28" s="14"/>
      <c r="H28" s="14"/>
      <c r="I28" s="14"/>
      <c r="J28" s="14"/>
      <c r="K28" s="14"/>
      <c r="L28" s="14"/>
    </row>
    <row r="29" spans="1:16">
      <c r="A29" s="13"/>
      <c r="B29" s="13"/>
      <c r="C29" s="13"/>
      <c r="D29" s="13"/>
      <c r="E29" s="13"/>
      <c r="F29" s="14"/>
      <c r="G29" s="14"/>
      <c r="H29" s="14"/>
      <c r="I29" s="14"/>
      <c r="J29" s="14"/>
      <c r="K29" s="14"/>
      <c r="L29" s="14"/>
    </row>
    <row r="30" spans="1:16" ht="13.9" customHeight="1">
      <c r="A30" s="13" t="s">
        <v>27</v>
      </c>
      <c r="B30" s="13"/>
      <c r="C30" s="13"/>
      <c r="D30" s="13"/>
      <c r="E30" s="13"/>
      <c r="F30" s="14" t="s">
        <v>23</v>
      </c>
      <c r="G30" s="14"/>
      <c r="H30" s="14"/>
      <c r="I30" s="14"/>
      <c r="J30" s="14"/>
      <c r="K30" s="14"/>
      <c r="L30" s="14"/>
    </row>
    <row r="31" spans="1:16">
      <c r="A31" s="13"/>
      <c r="B31" s="13"/>
      <c r="C31" s="13"/>
      <c r="D31" s="13"/>
      <c r="E31" s="13"/>
      <c r="F31" s="14"/>
      <c r="G31" s="14"/>
      <c r="H31" s="14"/>
      <c r="I31" s="14"/>
      <c r="J31" s="14"/>
      <c r="K31" s="14"/>
      <c r="L31" s="14"/>
    </row>
    <row r="32" spans="1:16" ht="13.9" customHeight="1">
      <c r="A32" s="13" t="s">
        <v>28</v>
      </c>
      <c r="B32" s="13"/>
      <c r="C32" s="13"/>
      <c r="D32" s="13"/>
      <c r="E32" s="13"/>
      <c r="F32" s="14" t="s">
        <v>23</v>
      </c>
      <c r="G32" s="14"/>
      <c r="H32" s="14"/>
      <c r="I32" s="14"/>
      <c r="J32" s="14"/>
      <c r="K32" s="14"/>
      <c r="L32" s="14"/>
    </row>
    <row r="33" spans="1:12">
      <c r="A33" s="13"/>
      <c r="B33" s="13"/>
      <c r="C33" s="13"/>
      <c r="D33" s="13"/>
      <c r="E33" s="13"/>
      <c r="F33" s="14"/>
      <c r="G33" s="14"/>
      <c r="H33" s="14"/>
      <c r="I33" s="14"/>
      <c r="J33" s="14"/>
      <c r="K33" s="14"/>
      <c r="L33" s="14"/>
    </row>
    <row r="34" spans="1:12" ht="13.9" customHeight="1">
      <c r="A34" s="13" t="s">
        <v>29</v>
      </c>
      <c r="B34" s="13"/>
      <c r="C34" s="13"/>
      <c r="D34" s="13"/>
      <c r="E34" s="13"/>
      <c r="F34" s="14" t="s">
        <v>23</v>
      </c>
      <c r="G34" s="14"/>
      <c r="H34" s="14"/>
      <c r="I34" s="14"/>
      <c r="J34" s="14"/>
      <c r="K34" s="14"/>
      <c r="L34" s="14"/>
    </row>
    <row r="35" spans="1:12">
      <c r="A35" s="13"/>
      <c r="B35" s="13"/>
      <c r="C35" s="13"/>
      <c r="D35" s="13"/>
      <c r="E35" s="13"/>
      <c r="F35" s="14"/>
      <c r="G35" s="14"/>
      <c r="H35" s="14"/>
      <c r="I35" s="14"/>
      <c r="J35" s="14"/>
      <c r="K35" s="14"/>
      <c r="L35" s="14"/>
    </row>
    <row r="36" spans="1:12">
      <c r="A36" s="13"/>
      <c r="B36" s="13"/>
      <c r="C36" s="13"/>
      <c r="D36" s="13"/>
      <c r="E36" s="13"/>
      <c r="F36" s="14"/>
      <c r="G36" s="14"/>
      <c r="H36" s="14"/>
      <c r="I36" s="14"/>
      <c r="J36" s="14"/>
      <c r="K36" s="14"/>
      <c r="L36" s="14"/>
    </row>
    <row r="37" spans="1:12">
      <c r="A37" s="13"/>
      <c r="B37" s="13"/>
      <c r="C37" s="13"/>
      <c r="D37" s="13"/>
      <c r="E37" s="13"/>
      <c r="F37" s="14"/>
      <c r="G37" s="14"/>
      <c r="H37" s="14"/>
      <c r="I37" s="14"/>
      <c r="J37" s="14"/>
      <c r="K37" s="14"/>
      <c r="L37" s="14"/>
    </row>
    <row r="38" spans="1:12" ht="13.9" customHeight="1">
      <c r="A38" s="13" t="s">
        <v>30</v>
      </c>
      <c r="B38" s="13"/>
      <c r="C38" s="13"/>
      <c r="D38" s="13"/>
      <c r="E38" s="13"/>
      <c r="F38" s="14" t="s">
        <v>23</v>
      </c>
      <c r="G38" s="14"/>
      <c r="H38" s="14"/>
      <c r="I38" s="14"/>
      <c r="J38" s="14"/>
      <c r="K38" s="14"/>
      <c r="L38" s="14"/>
    </row>
    <row r="39" spans="1:12">
      <c r="A39" s="13"/>
      <c r="B39" s="13"/>
      <c r="C39" s="13"/>
      <c r="D39" s="13"/>
      <c r="E39" s="13"/>
      <c r="F39" s="14"/>
      <c r="G39" s="14"/>
      <c r="H39" s="14"/>
      <c r="I39" s="14"/>
      <c r="J39" s="14"/>
      <c r="K39" s="14"/>
      <c r="L39" s="14"/>
    </row>
    <row r="40" spans="1:12">
      <c r="A40" s="13"/>
      <c r="B40" s="13"/>
      <c r="C40" s="13"/>
      <c r="D40" s="13"/>
      <c r="E40" s="13"/>
      <c r="F40" s="14"/>
      <c r="G40" s="14"/>
      <c r="H40" s="14"/>
      <c r="I40" s="14"/>
      <c r="J40" s="14"/>
      <c r="K40" s="14"/>
      <c r="L40" s="14"/>
    </row>
    <row r="41" spans="1:12">
      <c r="A41" s="13"/>
      <c r="B41" s="13"/>
      <c r="C41" s="13"/>
      <c r="D41" s="13"/>
      <c r="E41" s="13"/>
      <c r="F41" s="14"/>
      <c r="G41" s="14"/>
      <c r="H41" s="14"/>
      <c r="I41" s="14"/>
      <c r="J41" s="14"/>
      <c r="K41" s="14"/>
      <c r="L41" s="14"/>
    </row>
    <row r="42" spans="1:12">
      <c r="A42" s="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/>
      <c r="B43"/>
      <c r="C43"/>
      <c r="D43"/>
      <c r="E43"/>
      <c r="F43"/>
      <c r="G43"/>
      <c r="H43"/>
      <c r="I43"/>
      <c r="J43"/>
      <c r="K43"/>
      <c r="L43"/>
    </row>
    <row r="44" spans="1:12">
      <c r="A44" s="15" t="s">
        <v>31</v>
      </c>
      <c r="B44" s="15"/>
      <c r="C44" s="15"/>
      <c r="D44" s="16" t="str">
        <f>IF(AND(F20="Годен", F22="Годен", F24="Годен", F26="Годен", F28="Годен", F30="Годен", F32="Годен", F34="Годен", F38="Годен"), "Годен", "Брак")</f>
        <v>Брак</v>
      </c>
      <c r="E44" s="16"/>
      <c r="F44" s="16"/>
      <c r="G44" s="16"/>
      <c r="H44" s="16"/>
      <c r="I44" s="16"/>
      <c r="J44" s="16"/>
      <c r="K44" s="16"/>
      <c r="L44" s="16"/>
    </row>
    <row r="45" spans="1:12">
      <c r="A45"/>
      <c r="B45"/>
      <c r="C45"/>
      <c r="D45"/>
      <c r="E45"/>
      <c r="F45"/>
      <c r="G45"/>
      <c r="H45"/>
      <c r="I45"/>
      <c r="J45"/>
      <c r="K45"/>
      <c r="L45"/>
    </row>
    <row r="46" spans="1:12">
      <c r="A46" s="12" t="str">
        <f>"Поверитель: " &amp; Данные!B14</f>
        <v xml:space="preserve">Поверитель: 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8" spans="1:12">
      <c r="A48" s="12" t="e">
        <f>"Дата поверки: " &amp; DAY(DATEVALUE(LEFT(Данные!B2, 5) &amp; "-" &amp; MID(Данные!B2, 7, 2) &amp; "-" &amp; MID(Данные!B2, 10, 2))) &amp; "." &amp; MONTH(DATEVALUE(LEFT(Данные!B2, 5) &amp; "-" &amp; MID(Данные!B2, 7, 2) &amp; "-" &amp; MID(Данные!B2, 10, 2)))  &amp; "." &amp; YEAR(DATEVALUE(LEFT(Данные!B2, 5) &amp; "-" &amp; MID(Данные!B2, 7, 2) &amp; "-" &amp; MID(Данные!B2, 10, 2)))</f>
        <v>#VALUE!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</sheetData>
  <mergeCells count="59">
    <mergeCell ref="A1:L3"/>
    <mergeCell ref="A4:E4"/>
    <mergeCell ref="F4:L4"/>
    <mergeCell ref="A5:E5"/>
    <mergeCell ref="F5:L5"/>
    <mergeCell ref="A6:E6"/>
    <mergeCell ref="F6:L6"/>
    <mergeCell ref="A7:E7"/>
    <mergeCell ref="F7:L7"/>
    <mergeCell ref="A8:E9"/>
    <mergeCell ref="F8:L8"/>
    <mergeCell ref="F9:L9"/>
    <mergeCell ref="A10:E11"/>
    <mergeCell ref="F10:G11"/>
    <mergeCell ref="H10:J11"/>
    <mergeCell ref="K10:L11"/>
    <mergeCell ref="A12:E12"/>
    <mergeCell ref="F12:G12"/>
    <mergeCell ref="H12:J12"/>
    <mergeCell ref="K12:L12"/>
    <mergeCell ref="A13:E13"/>
    <mergeCell ref="F13:G13"/>
    <mergeCell ref="H13:J13"/>
    <mergeCell ref="K13:L13"/>
    <mergeCell ref="A14:E14"/>
    <mergeCell ref="F14:G14"/>
    <mergeCell ref="H14:J14"/>
    <mergeCell ref="K14:L14"/>
    <mergeCell ref="A15:E15"/>
    <mergeCell ref="F15:G15"/>
    <mergeCell ref="H15:J15"/>
    <mergeCell ref="K15:L15"/>
    <mergeCell ref="A16:E16"/>
    <mergeCell ref="F16:G16"/>
    <mergeCell ref="H16:J16"/>
    <mergeCell ref="K16:L16"/>
    <mergeCell ref="A18:L18"/>
    <mergeCell ref="A20:E21"/>
    <mergeCell ref="F20:L21"/>
    <mergeCell ref="A22:E23"/>
    <mergeCell ref="F22:L23"/>
    <mergeCell ref="A24:E25"/>
    <mergeCell ref="F24:L25"/>
    <mergeCell ref="A26:E27"/>
    <mergeCell ref="F26:L27"/>
    <mergeCell ref="A28:E29"/>
    <mergeCell ref="F28:L29"/>
    <mergeCell ref="A30:E31"/>
    <mergeCell ref="F30:L31"/>
    <mergeCell ref="A32:E33"/>
    <mergeCell ref="F32:L33"/>
    <mergeCell ref="A34:E37"/>
    <mergeCell ref="F34:L37"/>
    <mergeCell ref="A48:L48"/>
    <mergeCell ref="A38:E41"/>
    <mergeCell ref="F38:L41"/>
    <mergeCell ref="A44:C44"/>
    <mergeCell ref="D44:L44"/>
    <mergeCell ref="A46:L46"/>
  </mergeCells>
  <pageMargins left="0.78749999999999998" right="0.78749999999999998" top="0.88611111111111096" bottom="0.88611111111111096" header="0.78749999999999998" footer="0.78749999999999998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1"/>
  <sheetViews>
    <sheetView zoomScale="90" zoomScaleNormal="90" workbookViewId="0">
      <selection activeCell="N22" sqref="N22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 s="24" t="str">
        <f>"ПРОТОКОЛ ПОВЕРКИ"  &amp; CHAR(10) &amp; "ЧАСОВ ТЕХНИЧЕСКИХ" &amp; CHAR(10) &amp; "№ " &amp; Данные!B8</f>
        <v xml:space="preserve">ПРОТОКОЛ ПОВЕРКИ
ЧАСОВ ТЕХНИЧЕСКИХ
№ 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>
      <c r="A4" s="17" t="s">
        <v>0</v>
      </c>
      <c r="B4" s="17"/>
      <c r="C4" s="17"/>
      <c r="D4" s="17"/>
      <c r="E4" s="17"/>
      <c r="F4" s="17">
        <f>Данные!B9</f>
        <v>0</v>
      </c>
      <c r="G4" s="17"/>
      <c r="H4" s="17"/>
      <c r="I4" s="17"/>
      <c r="J4" s="17"/>
      <c r="K4" s="17"/>
      <c r="L4" s="17"/>
    </row>
    <row r="5" spans="1:13">
      <c r="A5" s="21" t="s">
        <v>1</v>
      </c>
      <c r="B5" s="21"/>
      <c r="C5" s="21"/>
      <c r="D5" s="21"/>
      <c r="E5" s="21"/>
      <c r="F5" s="17">
        <f>Данные!B10</f>
        <v>0</v>
      </c>
      <c r="G5" s="17"/>
      <c r="H5" s="17"/>
      <c r="I5" s="17"/>
      <c r="J5" s="17"/>
      <c r="K5" s="17"/>
      <c r="L5" s="17"/>
    </row>
    <row r="6" spans="1:13">
      <c r="A6" s="17" t="s">
        <v>2</v>
      </c>
      <c r="B6" s="17"/>
      <c r="C6" s="17"/>
      <c r="D6" s="17"/>
      <c r="E6" s="17"/>
      <c r="F6" s="17">
        <f>Данные!B11</f>
        <v>0</v>
      </c>
      <c r="G6" s="17"/>
      <c r="H6" s="17"/>
      <c r="I6" s="17"/>
      <c r="J6" s="17"/>
      <c r="K6" s="17"/>
      <c r="L6" s="17"/>
    </row>
    <row r="7" spans="1:13">
      <c r="A7" s="21" t="s">
        <v>3</v>
      </c>
      <c r="B7" s="21"/>
      <c r="C7" s="21"/>
      <c r="D7" s="21"/>
      <c r="E7" s="21"/>
      <c r="F7" s="22" t="s">
        <v>32</v>
      </c>
      <c r="G7" s="22"/>
      <c r="H7" s="22"/>
      <c r="I7" s="22"/>
      <c r="J7" s="22"/>
      <c r="K7" s="22"/>
      <c r="L7" s="22"/>
    </row>
    <row r="8" spans="1:13" ht="13.9" customHeight="1">
      <c r="A8" s="23" t="s">
        <v>5</v>
      </c>
      <c r="B8" s="23"/>
      <c r="C8" s="23"/>
      <c r="D8" s="23"/>
      <c r="E8" s="23"/>
      <c r="F8" s="17">
        <f>Данные!B12</f>
        <v>0</v>
      </c>
      <c r="G8" s="17"/>
      <c r="H8" s="17"/>
      <c r="I8" s="17"/>
      <c r="J8" s="17"/>
      <c r="K8" s="17"/>
      <c r="L8" s="17"/>
      <c r="M8" s="2"/>
    </row>
    <row r="9" spans="1:13">
      <c r="A9" s="23"/>
      <c r="B9" s="23"/>
      <c r="C9" s="23"/>
      <c r="D9" s="23"/>
      <c r="E9" s="23"/>
      <c r="F9" s="17"/>
      <c r="G9" s="17"/>
      <c r="H9" s="17"/>
      <c r="I9" s="17"/>
      <c r="J9" s="17"/>
      <c r="K9" s="17"/>
      <c r="L9" s="17"/>
      <c r="M9" s="2"/>
    </row>
    <row r="10" spans="1:13" ht="13.9" customHeight="1">
      <c r="A10" s="19" t="s">
        <v>6</v>
      </c>
      <c r="B10" s="19"/>
      <c r="C10" s="19"/>
      <c r="D10" s="19"/>
      <c r="E10" s="19"/>
      <c r="F10" s="18" t="s">
        <v>7</v>
      </c>
      <c r="G10" s="18"/>
      <c r="H10" s="20" t="s">
        <v>8</v>
      </c>
      <c r="I10" s="20"/>
      <c r="J10" s="20"/>
      <c r="K10" s="20" t="s">
        <v>9</v>
      </c>
      <c r="L10" s="20"/>
    </row>
    <row r="11" spans="1:13">
      <c r="A11" s="19"/>
      <c r="B11" s="19"/>
      <c r="C11" s="19"/>
      <c r="D11" s="19"/>
      <c r="E11" s="19"/>
      <c r="F11" s="18"/>
      <c r="G11" s="18"/>
      <c r="H11" s="20"/>
      <c r="I11" s="20"/>
      <c r="J11" s="20"/>
      <c r="K11" s="20"/>
      <c r="L11" s="20"/>
    </row>
    <row r="12" spans="1:13">
      <c r="A12" s="17" t="s">
        <v>10</v>
      </c>
      <c r="B12" s="17"/>
      <c r="C12" s="17"/>
      <c r="D12" s="17"/>
      <c r="E12" s="17"/>
      <c r="F12" s="18" t="s">
        <v>11</v>
      </c>
      <c r="G12" s="18"/>
      <c r="H12" s="18">
        <f>Данные!B15</f>
        <v>0</v>
      </c>
      <c r="I12" s="18"/>
      <c r="J12" s="18"/>
      <c r="K12" s="18">
        <f>Данные!B16</f>
        <v>0</v>
      </c>
      <c r="L12" s="18"/>
    </row>
    <row r="13" spans="1:13">
      <c r="A13" s="17" t="s">
        <v>12</v>
      </c>
      <c r="B13" s="17"/>
      <c r="C13" s="17"/>
      <c r="D13" s="17"/>
      <c r="E13" s="17"/>
      <c r="F13" s="18" t="s">
        <v>13</v>
      </c>
      <c r="G13" s="18"/>
      <c r="H13" s="18">
        <f>Данные!B17</f>
        <v>0</v>
      </c>
      <c r="I13" s="18"/>
      <c r="J13" s="18"/>
      <c r="K13" s="18">
        <f>Данные!B18</f>
        <v>0</v>
      </c>
      <c r="L13" s="18"/>
    </row>
    <row r="14" spans="1:13">
      <c r="A14" s="17" t="s">
        <v>14</v>
      </c>
      <c r="B14" s="17"/>
      <c r="C14" s="17"/>
      <c r="D14" s="17"/>
      <c r="E14" s="17"/>
      <c r="F14" s="18" t="s">
        <v>15</v>
      </c>
      <c r="G14" s="18"/>
      <c r="H14" s="18">
        <f>Данные!B19</f>
        <v>0</v>
      </c>
      <c r="I14" s="18"/>
      <c r="J14" s="18"/>
      <c r="K14" s="18">
        <f>Данные!B20</f>
        <v>0</v>
      </c>
      <c r="L14" s="18"/>
    </row>
    <row r="15" spans="1:13">
      <c r="A15" s="17" t="s">
        <v>16</v>
      </c>
      <c r="B15" s="17"/>
      <c r="C15" s="17"/>
      <c r="D15" s="17"/>
      <c r="E15" s="17"/>
      <c r="F15" s="18" t="s">
        <v>17</v>
      </c>
      <c r="G15" s="18"/>
      <c r="H15" s="18">
        <f>Данные!B21</f>
        <v>0</v>
      </c>
      <c r="I15" s="18"/>
      <c r="J15" s="18"/>
      <c r="K15" s="18">
        <f>Данные!B22</f>
        <v>0</v>
      </c>
      <c r="L15" s="18"/>
    </row>
    <row r="16" spans="1:13">
      <c r="A16" s="17" t="s">
        <v>18</v>
      </c>
      <c r="B16" s="17"/>
      <c r="C16" s="17"/>
      <c r="D16" s="17"/>
      <c r="E16" s="17"/>
      <c r="F16" s="18" t="s">
        <v>19</v>
      </c>
      <c r="G16" s="18"/>
      <c r="H16" s="18">
        <f>Данные!B23</f>
        <v>0</v>
      </c>
      <c r="I16" s="18"/>
      <c r="J16" s="18"/>
      <c r="K16" s="18">
        <f>Данные!B24</f>
        <v>0</v>
      </c>
      <c r="L16" s="18"/>
    </row>
    <row r="17" spans="1:12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12" t="s">
        <v>20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15" t="s">
        <v>21</v>
      </c>
      <c r="B21" s="15"/>
      <c r="C21" s="15"/>
      <c r="D21" s="16">
        <f>Данные!B25</f>
        <v>0</v>
      </c>
      <c r="E21" s="16"/>
      <c r="F21" s="16"/>
      <c r="G21" s="16"/>
      <c r="H21" s="16"/>
      <c r="I21" s="16"/>
      <c r="J21" s="16"/>
      <c r="K21" s="16"/>
      <c r="L21" s="16"/>
    </row>
    <row r="22" spans="1:12">
      <c r="A22" s="28"/>
      <c r="B22" s="28"/>
      <c r="C22" s="28"/>
      <c r="D22" s="15"/>
      <c r="E22" s="15"/>
      <c r="F22" s="15"/>
      <c r="G22" s="15"/>
      <c r="H22" s="15"/>
      <c r="I22" s="15"/>
      <c r="J22" s="15"/>
      <c r="K22" s="15"/>
      <c r="L22" s="15"/>
    </row>
    <row r="23" spans="1:12">
      <c r="A23" s="15" t="s">
        <v>33</v>
      </c>
      <c r="B23" s="15"/>
      <c r="C23" s="15"/>
      <c r="D23" s="16">
        <f>Данные!B26</f>
        <v>0</v>
      </c>
      <c r="E23" s="16"/>
      <c r="F23" s="16"/>
      <c r="G23" s="16"/>
      <c r="H23" s="16"/>
      <c r="I23" s="16"/>
      <c r="J23" s="16"/>
      <c r="K23" s="16"/>
      <c r="L23" s="16"/>
    </row>
    <row r="24" spans="1:12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12" t="s">
        <v>34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>
      <c r="A26"/>
      <c r="B26"/>
      <c r="C26"/>
      <c r="D26"/>
      <c r="E26"/>
      <c r="F26"/>
      <c r="G26"/>
      <c r="H26"/>
      <c r="I26"/>
      <c r="J26"/>
      <c r="K26"/>
      <c r="L26"/>
    </row>
    <row r="27" spans="1:12">
      <c r="A27" s="27" t="s">
        <v>35</v>
      </c>
      <c r="B27" s="27"/>
      <c r="C27" s="27"/>
      <c r="D27" s="27"/>
      <c r="E27" s="27" t="s">
        <v>36</v>
      </c>
      <c r="F27" s="27"/>
      <c r="G27" s="27"/>
      <c r="H27" s="27"/>
      <c r="I27" s="27" t="s">
        <v>8</v>
      </c>
      <c r="J27" s="27"/>
      <c r="K27" s="27"/>
      <c r="L27" s="27"/>
    </row>
    <row r="28" spans="1:12" ht="13.9" customHeight="1">
      <c r="A28" s="25" t="s">
        <v>37</v>
      </c>
      <c r="B28" s="25"/>
      <c r="C28" s="25"/>
      <c r="D28" s="25"/>
      <c r="E28" s="24" t="s">
        <v>38</v>
      </c>
      <c r="F28" s="24"/>
      <c r="G28" s="24"/>
      <c r="H28" s="24"/>
      <c r="I28" s="24">
        <f>Данные!B27</f>
        <v>0</v>
      </c>
      <c r="J28" s="24"/>
      <c r="K28" s="24"/>
      <c r="L28" s="24"/>
    </row>
    <row r="29" spans="1:12">
      <c r="A29" s="25"/>
      <c r="B29" s="25"/>
      <c r="C29" s="25"/>
      <c r="D29" s="25"/>
      <c r="E29" s="24"/>
      <c r="F29" s="24"/>
      <c r="G29" s="24"/>
      <c r="H29" s="24"/>
      <c r="I29" s="24"/>
      <c r="J29" s="24"/>
      <c r="K29" s="24"/>
      <c r="L29" s="24"/>
    </row>
    <row r="30" spans="1:12" ht="13.9" customHeight="1">
      <c r="A30" s="25" t="s">
        <v>39</v>
      </c>
      <c r="B30" s="25"/>
      <c r="C30" s="25"/>
      <c r="D30" s="25"/>
      <c r="E30" s="26" t="s">
        <v>40</v>
      </c>
      <c r="F30" s="26"/>
      <c r="G30" s="26"/>
      <c r="H30" s="26"/>
      <c r="I30" s="24"/>
      <c r="J30" s="24"/>
      <c r="K30" s="24"/>
      <c r="L30" s="24"/>
    </row>
    <row r="31" spans="1:12">
      <c r="A31" s="25"/>
      <c r="B31" s="25"/>
      <c r="C31" s="25"/>
      <c r="D31" s="25"/>
      <c r="E31" s="26"/>
      <c r="F31" s="26"/>
      <c r="G31" s="26"/>
      <c r="H31" s="26"/>
      <c r="I31" s="24"/>
      <c r="J31" s="24"/>
      <c r="K31" s="24"/>
      <c r="L31" s="24"/>
    </row>
    <row r="32" spans="1:12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/>
      <c r="B36"/>
      <c r="C36"/>
      <c r="D36"/>
      <c r="E36"/>
      <c r="F36"/>
      <c r="G36"/>
      <c r="H36"/>
      <c r="I36"/>
      <c r="J36"/>
      <c r="K36"/>
      <c r="L36"/>
    </row>
    <row r="37" spans="1:12">
      <c r="A37" s="15" t="s">
        <v>31</v>
      </c>
      <c r="B37" s="15"/>
      <c r="C37" s="15"/>
      <c r="D37" s="16" t="str">
        <f>IF(AND(I28 &gt;= 20, 1), "Годен", "Брак")</f>
        <v>Брак</v>
      </c>
      <c r="E37" s="16"/>
      <c r="F37" s="16"/>
      <c r="G37" s="16"/>
      <c r="H37" s="16"/>
      <c r="I37" s="16"/>
      <c r="J37" s="16"/>
      <c r="K37" s="16"/>
      <c r="L37" s="16"/>
    </row>
    <row r="38" spans="1:12">
      <c r="A38"/>
      <c r="B38"/>
      <c r="C38"/>
      <c r="D38"/>
      <c r="E38"/>
      <c r="F38"/>
      <c r="G38"/>
      <c r="H38"/>
      <c r="I38"/>
      <c r="J38"/>
      <c r="K38"/>
      <c r="L38"/>
    </row>
    <row r="39" spans="1:12">
      <c r="A39" s="12" t="str">
        <f>"Поверитель: " &amp; Данные!B14</f>
        <v xml:space="preserve">Поверитель: 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1" spans="1:12">
      <c r="A41" s="12" t="e">
        <f>"Дата поверки: " &amp; DAY(DATEVALUE(LEFT(Данные!B2, 5) &amp; "-" &amp; MID(Данные!B2, 7, 2) &amp; "-" &amp; MID(Данные!B2, 10, 2))) &amp; "." &amp; MONTH(DATEVALUE(LEFT(Данные!B2, 5) &amp; "-" &amp; MID(Данные!B2, 7, 2) &amp; "-" &amp; MID(Данные!B2, 10, 2)))  &amp; "." &amp; YEAR(DATEVALUE(LEFT(Данные!B2, 5) &amp; "-" &amp; MID(Данные!B2, 7, 2) &amp; "-" &amp; MID(Данные!B2, 10, 2)))</f>
        <v>#VALUE!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</sheetData>
  <mergeCells count="57">
    <mergeCell ref="A1:L3"/>
    <mergeCell ref="A4:E4"/>
    <mergeCell ref="F4:L4"/>
    <mergeCell ref="A5:E5"/>
    <mergeCell ref="F5:L5"/>
    <mergeCell ref="A6:E6"/>
    <mergeCell ref="F6:L6"/>
    <mergeCell ref="A7:E7"/>
    <mergeCell ref="F7:L7"/>
    <mergeCell ref="A8:E9"/>
    <mergeCell ref="F8:L8"/>
    <mergeCell ref="F9:L9"/>
    <mergeCell ref="A10:E11"/>
    <mergeCell ref="F10:G11"/>
    <mergeCell ref="H10:J11"/>
    <mergeCell ref="K10:L11"/>
    <mergeCell ref="A12:E12"/>
    <mergeCell ref="F12:G12"/>
    <mergeCell ref="H12:J12"/>
    <mergeCell ref="K12:L12"/>
    <mergeCell ref="A13:E13"/>
    <mergeCell ref="F13:G13"/>
    <mergeCell ref="H13:J13"/>
    <mergeCell ref="K13:L13"/>
    <mergeCell ref="A14:E14"/>
    <mergeCell ref="F14:G14"/>
    <mergeCell ref="H14:J14"/>
    <mergeCell ref="K14:L14"/>
    <mergeCell ref="A15:E15"/>
    <mergeCell ref="F15:G15"/>
    <mergeCell ref="H15:J15"/>
    <mergeCell ref="K15:L15"/>
    <mergeCell ref="A16:E16"/>
    <mergeCell ref="F16:G16"/>
    <mergeCell ref="H16:J16"/>
    <mergeCell ref="K16:L16"/>
    <mergeCell ref="A19:L19"/>
    <mergeCell ref="A21:C21"/>
    <mergeCell ref="D21:L21"/>
    <mergeCell ref="A22:C22"/>
    <mergeCell ref="D22:L22"/>
    <mergeCell ref="A23:C23"/>
    <mergeCell ref="D23:L23"/>
    <mergeCell ref="A25:L25"/>
    <mergeCell ref="A27:D27"/>
    <mergeCell ref="E27:H27"/>
    <mergeCell ref="I27:L27"/>
    <mergeCell ref="A37:C37"/>
    <mergeCell ref="D37:L37"/>
    <mergeCell ref="A39:L39"/>
    <mergeCell ref="A41:L41"/>
    <mergeCell ref="A28:D29"/>
    <mergeCell ref="E28:H29"/>
    <mergeCell ref="I28:L29"/>
    <mergeCell ref="A30:D31"/>
    <mergeCell ref="E30:H31"/>
    <mergeCell ref="I30:L31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3"/>
  <sheetViews>
    <sheetView tabSelected="1" zoomScale="90" zoomScaleNormal="90" workbookViewId="0">
      <selection activeCell="C16" sqref="C16"/>
    </sheetView>
  </sheetViews>
  <sheetFormatPr defaultColWidth="25.5703125" defaultRowHeight="15.75"/>
  <cols>
    <col min="1" max="1" width="26.42578125" style="7" customWidth="1"/>
    <col min="2" max="64" width="25.5703125" style="8"/>
    <col min="65" max="16384" width="25.5703125" style="10"/>
  </cols>
  <sheetData>
    <row r="1" spans="1:64" s="11" customFormat="1">
      <c r="A1" s="7" t="s">
        <v>41</v>
      </c>
      <c r="B1" s="9" t="s">
        <v>42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spans="1:64" s="11" customFormat="1">
      <c r="A2" s="7" t="s">
        <v>43</v>
      </c>
      <c r="B2" s="9" t="s">
        <v>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</row>
    <row r="3" spans="1:64" s="11" customFormat="1">
      <c r="A3" s="7" t="s">
        <v>44</v>
      </c>
      <c r="B3" s="9" t="s">
        <v>42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</row>
    <row r="4" spans="1:64" s="11" customFormat="1">
      <c r="A4" s="7" t="s">
        <v>45</v>
      </c>
      <c r="B4" s="9" t="s">
        <v>42</v>
      </c>
      <c r="C4" s="9"/>
      <c r="D4" s="9"/>
      <c r="E4" s="9"/>
      <c r="F4" s="9"/>
      <c r="G4" s="9"/>
      <c r="H4" s="9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</row>
    <row r="5" spans="1:64" s="11" customFormat="1">
      <c r="A5" s="7" t="s">
        <v>46</v>
      </c>
      <c r="B5" s="8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</row>
    <row r="8" spans="1:64">
      <c r="B8" s="9"/>
    </row>
    <row r="10" spans="1:64">
      <c r="B10" s="9"/>
    </row>
    <row r="16" spans="1:64">
      <c r="B16" s="9"/>
    </row>
    <row r="18" spans="2:2">
      <c r="B18" s="9"/>
    </row>
    <row r="19" spans="2:2">
      <c r="B19" s="9"/>
    </row>
    <row r="21" spans="2:2">
      <c r="B21" s="9"/>
    </row>
    <row r="23" spans="2:2">
      <c r="B23" s="9"/>
    </row>
  </sheetData>
  <pageMargins left="0.78749999999999998" right="0.78749999999999998" top="0.88611111111111096" bottom="0.88611111111111096" header="0.78749999999999998" footer="0.78749999999999998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Часы технические</vt:lpstr>
      <vt:lpstr>Часы АЧС-1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503</cp:lastModifiedBy>
  <dcterms:modified xsi:type="dcterms:W3CDTF">2021-02-03T11:16:59Z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ru-RU</dc:language>
  <cp:lastModifiedBy/>
  <dcterms:modified xsi:type="dcterms:W3CDTF">2019-07-03T17:25:17Z</dcterms:modified>
  <cp:revision>64</cp:revision>
  <dc:subject/>
  <dc:title/>
</cp:coreProperties>
</file>